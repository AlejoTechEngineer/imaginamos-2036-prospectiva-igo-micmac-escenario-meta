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899C9086-67A9-5B14-2C2D-5A8001700F7D}"/>
  <workbookPr filterPrivacy="1" codeName="ThisWorkbook" hidePivotFieldList="1" defaultThemeVersion="124226"/>
  <xr:revisionPtr revIDLastSave="0" documentId="13_ncr:1_{68D98050-7C1A-43C1-92A6-5602B8DC4913}" xr6:coauthVersionLast="47" xr6:coauthVersionMax="47" xr10:uidLastSave="{00000000-0000-0000-0000-000000000000}"/>
  <workbookProtection workbookAlgorithmName="SHA-512" workbookHashValue="zzA8bLl2l70vDLT/4wYmf6KrvNF0uVBvqolO4FYO/vF4caqXzf9zpEyWITIkCoehxneY3z6Fpwto1tf1KmZ5rA==" workbookSaltValue="Jk7+gjfTRgrP3jF+4ewYXA==" workbookSpinCount="100000" lockStructure="1"/>
  <bookViews>
    <workbookView xWindow="-120" yWindow="-120" windowWidth="38640" windowHeight="21120" activeTab="1" xr2:uid="{00000000-000D-0000-FFFF-FFFF00000000}"/>
  </bookViews>
  <sheets>
    <sheet name="PORTADA" sheetId="15" r:id="rId1"/>
    <sheet name="TENDENCIAS" sheetId="1" r:id="rId2"/>
    <sheet name="RANKING" sheetId="6" r:id="rId3"/>
    <sheet name="IMPACTOS CRUZADOS" sheetId="4" r:id="rId4"/>
    <sheet name="MIC-MAC" sheetId="7" r:id="rId5"/>
    <sheet name="HIPOTESIS" sheetId="2" r:id="rId6"/>
    <sheet name="4. " sheetId="3" state="hidden" r:id="rId7"/>
    <sheet name="EB" sheetId="9" r:id="rId8"/>
    <sheet name="ESCENARIOS" sheetId="11" r:id="rId9"/>
    <sheet name="M" sheetId="12" state="hidden" r:id="rId10"/>
    <sheet name="META" sheetId="14" r:id="rId11"/>
    <sheet name="Hoja1" sheetId="5" state="hidden" r:id="rId12"/>
  </sheets>
  <definedNames>
    <definedName name="_xlnm._FilterDatabase" localSheetId="1" hidden="1">TENDENCIAS!$B$2:$I$32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" i="5" l="1"/>
  <c r="A20" i="9"/>
  <c r="A15" i="9"/>
  <c r="A16" i="9"/>
  <c r="A17" i="9"/>
  <c r="A18" i="9"/>
  <c r="A19" i="9"/>
  <c r="M5" i="4" l="1"/>
  <c r="A7" i="9"/>
  <c r="A8" i="9"/>
  <c r="A9" i="9"/>
  <c r="A10" i="9"/>
  <c r="A11" i="9"/>
  <c r="A12" i="9"/>
  <c r="A13" i="9"/>
  <c r="A14" i="9"/>
  <c r="A6" i="9"/>
  <c r="AF5" i="11" l="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C5" i="11"/>
  <c r="AF5" i="9"/>
  <c r="AF69" i="9" s="1"/>
  <c r="AE5" i="9"/>
  <c r="AD5" i="9"/>
  <c r="AD219" i="9" s="1"/>
  <c r="AC5" i="9"/>
  <c r="AC54" i="9" s="1"/>
  <c r="AB5" i="9"/>
  <c r="AB44" i="9" s="1"/>
  <c r="AA5" i="9"/>
  <c r="AA189" i="9" s="1"/>
  <c r="Z5" i="9"/>
  <c r="Y5" i="9"/>
  <c r="Y135" i="9" s="1"/>
  <c r="X5" i="9"/>
  <c r="X51" i="9" s="1"/>
  <c r="W5" i="9"/>
  <c r="V5" i="9"/>
  <c r="U5" i="9"/>
  <c r="T5" i="9"/>
  <c r="T21" i="9" s="1"/>
  <c r="AE4" i="3"/>
  <c r="AD4" i="3"/>
  <c r="AC4" i="3"/>
  <c r="AB4" i="3"/>
  <c r="AA4" i="3"/>
  <c r="Z4" i="3"/>
  <c r="Y4" i="3"/>
  <c r="X4" i="3"/>
  <c r="W4" i="3"/>
  <c r="V4" i="3"/>
  <c r="U4" i="3"/>
  <c r="T4" i="3"/>
  <c r="S4" i="3"/>
  <c r="C5" i="9"/>
  <c r="C105" i="9" s="1"/>
  <c r="F5" i="9"/>
  <c r="F182" i="9" s="1"/>
  <c r="D5" i="9"/>
  <c r="D140" i="9" s="1"/>
  <c r="F167" i="9"/>
  <c r="F215" i="9"/>
  <c r="F238" i="9"/>
  <c r="D192" i="9"/>
  <c r="F122" i="9"/>
  <c r="F76" i="9"/>
  <c r="F68" i="9"/>
  <c r="F116" i="9"/>
  <c r="F148" i="9"/>
  <c r="F145" i="9"/>
  <c r="F225" i="9"/>
  <c r="F217" i="9"/>
  <c r="D171" i="9"/>
  <c r="F241" i="9"/>
  <c r="F203" i="9"/>
  <c r="F163" i="9"/>
  <c r="F211" i="9"/>
  <c r="F195" i="9"/>
  <c r="F185" i="9"/>
  <c r="F69" i="9"/>
  <c r="F61" i="9"/>
  <c r="D33" i="9"/>
  <c r="F101" i="9"/>
  <c r="F59" i="9"/>
  <c r="F32" i="9"/>
  <c r="F56" i="9"/>
  <c r="F94" i="9"/>
  <c r="F136" i="9"/>
  <c r="D88" i="9"/>
  <c r="C50" i="9"/>
  <c r="F50" i="9"/>
  <c r="F45" i="9"/>
  <c r="D84" i="9"/>
  <c r="U81" i="9"/>
  <c r="C130" i="9"/>
  <c r="D130" i="9"/>
  <c r="F16" i="9"/>
  <c r="C28" i="9"/>
  <c r="U25" i="9"/>
  <c r="F12" i="9"/>
  <c r="D24" i="9"/>
  <c r="F38" i="9"/>
  <c r="Z149" i="9"/>
  <c r="V112" i="9"/>
  <c r="U241" i="9"/>
  <c r="S5" i="9"/>
  <c r="R5" i="9"/>
  <c r="R140" i="9" s="1"/>
  <c r="Q5" i="9"/>
  <c r="Q12" i="9" s="1"/>
  <c r="P5" i="9"/>
  <c r="P37" i="9" s="1"/>
  <c r="O5" i="9"/>
  <c r="O120" i="9" s="1"/>
  <c r="N5" i="9"/>
  <c r="N6" i="9" s="1"/>
  <c r="M5" i="9"/>
  <c r="M54" i="9" s="1"/>
  <c r="L5" i="9"/>
  <c r="L47" i="9" s="1"/>
  <c r="K5" i="9"/>
  <c r="K13" i="9" s="1"/>
  <c r="J5" i="9"/>
  <c r="J20" i="9" s="1"/>
  <c r="I5" i="9"/>
  <c r="I223" i="9" s="1"/>
  <c r="H5" i="9"/>
  <c r="H45" i="9" s="1"/>
  <c r="G5" i="9"/>
  <c r="G140" i="9" s="1"/>
  <c r="E5" i="9"/>
  <c r="E230" i="9" s="1"/>
  <c r="D50" i="9" l="1"/>
  <c r="D69" i="9"/>
  <c r="F235" i="9"/>
  <c r="F108" i="9"/>
  <c r="F14" i="9"/>
  <c r="D86" i="9"/>
  <c r="F189" i="9"/>
  <c r="D188" i="9"/>
  <c r="F78" i="9"/>
  <c r="F196" i="9"/>
  <c r="F37" i="9"/>
  <c r="C11" i="9"/>
  <c r="F135" i="9"/>
  <c r="F100" i="9"/>
  <c r="F110" i="9"/>
  <c r="F186" i="9"/>
  <c r="F131" i="9"/>
  <c r="F227" i="9"/>
  <c r="D115" i="9"/>
  <c r="F237" i="9"/>
  <c r="C246" i="9"/>
  <c r="F20" i="9"/>
  <c r="F24" i="9"/>
  <c r="F28" i="9"/>
  <c r="F130" i="9"/>
  <c r="F84" i="9"/>
  <c r="F92" i="9"/>
  <c r="F88" i="9"/>
  <c r="F54" i="9"/>
  <c r="F98" i="9"/>
  <c r="F102" i="9"/>
  <c r="F33" i="9"/>
  <c r="F35" i="9"/>
  <c r="D149" i="9"/>
  <c r="F151" i="9"/>
  <c r="F243" i="9"/>
  <c r="F171" i="9"/>
  <c r="F179" i="9"/>
  <c r="D107" i="9"/>
  <c r="F113" i="9"/>
  <c r="F124" i="9"/>
  <c r="F192" i="9"/>
  <c r="F126" i="9"/>
  <c r="F140" i="9"/>
  <c r="D94" i="9"/>
  <c r="F22" i="9"/>
  <c r="F52" i="9"/>
  <c r="F220" i="9"/>
  <c r="F128" i="9"/>
  <c r="F31" i="9"/>
  <c r="F111" i="9"/>
  <c r="F193" i="9"/>
  <c r="D220" i="9"/>
  <c r="F146" i="9"/>
  <c r="F74" i="9"/>
  <c r="F168" i="9"/>
  <c r="D8" i="9"/>
  <c r="F43" i="9"/>
  <c r="F51" i="9"/>
  <c r="F71" i="9"/>
  <c r="F205" i="9"/>
  <c r="F104" i="9"/>
  <c r="F6" i="9"/>
  <c r="F41" i="9"/>
  <c r="F30" i="9"/>
  <c r="F99" i="9"/>
  <c r="D65" i="9"/>
  <c r="F156" i="9"/>
  <c r="F178" i="9"/>
  <c r="F247" i="9"/>
  <c r="F180" i="9"/>
  <c r="F23" i="9"/>
  <c r="F9" i="9"/>
  <c r="F13" i="9"/>
  <c r="F77" i="9"/>
  <c r="F42" i="9"/>
  <c r="F47" i="9"/>
  <c r="F95" i="9"/>
  <c r="C99" i="9"/>
  <c r="F141" i="9"/>
  <c r="F109" i="9"/>
  <c r="F120" i="9"/>
  <c r="F190" i="9"/>
  <c r="D156" i="9"/>
  <c r="F210" i="9"/>
  <c r="F242" i="9"/>
  <c r="F170" i="9"/>
  <c r="F139" i="9"/>
  <c r="D60" i="9"/>
  <c r="F63" i="9"/>
  <c r="F72" i="9"/>
  <c r="F199" i="9"/>
  <c r="F207" i="9"/>
  <c r="F26" i="9"/>
  <c r="D101" i="9"/>
  <c r="D122" i="9"/>
  <c r="D82" i="9"/>
  <c r="D119" i="9"/>
  <c r="F181" i="9"/>
  <c r="F48" i="9"/>
  <c r="F233" i="9"/>
  <c r="F226" i="9"/>
  <c r="C180" i="9"/>
  <c r="F236" i="9"/>
  <c r="F39" i="9"/>
  <c r="C23" i="9"/>
  <c r="F27" i="9"/>
  <c r="C13" i="9"/>
  <c r="F83" i="9"/>
  <c r="F91" i="9"/>
  <c r="F137" i="9"/>
  <c r="F53" i="9"/>
  <c r="F57" i="9"/>
  <c r="D141" i="9"/>
  <c r="F112" i="9"/>
  <c r="F73" i="9"/>
  <c r="F234" i="9"/>
  <c r="F194" i="9"/>
  <c r="D210" i="9"/>
  <c r="F202" i="9"/>
  <c r="F133" i="9"/>
  <c r="F177" i="9"/>
  <c r="F103" i="9"/>
  <c r="D63" i="9"/>
  <c r="F239" i="9"/>
  <c r="F157" i="9"/>
  <c r="F245" i="9"/>
  <c r="D38" i="9"/>
  <c r="D225" i="9"/>
  <c r="F18" i="9"/>
  <c r="F80" i="9"/>
  <c r="F86" i="9"/>
  <c r="F119" i="9"/>
  <c r="F209" i="9"/>
  <c r="F228" i="9"/>
  <c r="F8" i="9"/>
  <c r="F212" i="9"/>
  <c r="F7" i="9"/>
  <c r="F46" i="9"/>
  <c r="F65" i="9"/>
  <c r="D212" i="9"/>
  <c r="F173" i="9"/>
  <c r="D64" i="9"/>
  <c r="F150" i="9"/>
  <c r="F166" i="9"/>
  <c r="F17" i="9"/>
  <c r="D7" i="9"/>
  <c r="F29" i="9"/>
  <c r="F85" i="9"/>
  <c r="F117" i="9"/>
  <c r="F165" i="9"/>
  <c r="D205" i="9"/>
  <c r="F218" i="9"/>
  <c r="F60" i="9"/>
  <c r="F34" i="9"/>
  <c r="D36" i="9"/>
  <c r="F187" i="9"/>
  <c r="F19" i="9"/>
  <c r="F11" i="9"/>
  <c r="F15" i="9"/>
  <c r="F129" i="9"/>
  <c r="F44" i="9"/>
  <c r="F49" i="9"/>
  <c r="F87" i="9"/>
  <c r="F93" i="9"/>
  <c r="F97" i="9"/>
  <c r="F144" i="9"/>
  <c r="F66" i="9"/>
  <c r="F118" i="9"/>
  <c r="D234" i="9"/>
  <c r="F152" i="9"/>
  <c r="F162" i="9"/>
  <c r="F159" i="9"/>
  <c r="F169" i="9"/>
  <c r="D177" i="9"/>
  <c r="F115" i="9"/>
  <c r="F123" i="9"/>
  <c r="F191" i="9"/>
  <c r="F197" i="9"/>
  <c r="F208" i="9"/>
  <c r="F82" i="9"/>
  <c r="F55" i="9"/>
  <c r="F155" i="9"/>
  <c r="D241" i="9"/>
  <c r="F114" i="9"/>
  <c r="F188" i="9"/>
  <c r="F216" i="9"/>
  <c r="D22" i="9"/>
  <c r="F90" i="9"/>
  <c r="F143" i="9"/>
  <c r="F244" i="9"/>
  <c r="F64" i="9"/>
  <c r="F10" i="9"/>
  <c r="F105" i="9"/>
  <c r="F36" i="9"/>
  <c r="F79" i="9"/>
  <c r="F89" i="9"/>
  <c r="F96" i="9"/>
  <c r="F106" i="9"/>
  <c r="F70" i="9"/>
  <c r="D152" i="9"/>
  <c r="F201" i="9"/>
  <c r="F147" i="9"/>
  <c r="F75" i="9"/>
  <c r="D158" i="9"/>
  <c r="F40" i="9"/>
  <c r="F21" i="9"/>
  <c r="F25" i="9"/>
  <c r="F127" i="9"/>
  <c r="F81" i="9"/>
  <c r="D89" i="9"/>
  <c r="F138" i="9"/>
  <c r="D96" i="9"/>
  <c r="F58" i="9"/>
  <c r="F142" i="9"/>
  <c r="F62" i="9"/>
  <c r="D70" i="9"/>
  <c r="F149" i="9"/>
  <c r="F125" i="9"/>
  <c r="F161" i="9"/>
  <c r="F219" i="9"/>
  <c r="D227" i="9"/>
  <c r="F107" i="9"/>
  <c r="F67" i="9"/>
  <c r="F121" i="9"/>
  <c r="F240" i="9"/>
  <c r="F198" i="9"/>
  <c r="F204" i="9"/>
  <c r="Y233" i="9"/>
  <c r="X71" i="9"/>
  <c r="D40" i="9"/>
  <c r="D27" i="9"/>
  <c r="D26" i="9"/>
  <c r="D79" i="9"/>
  <c r="D91" i="9"/>
  <c r="D135" i="9"/>
  <c r="D53" i="9"/>
  <c r="D99" i="9"/>
  <c r="D102" i="9"/>
  <c r="D110" i="9"/>
  <c r="D73" i="9"/>
  <c r="D236" i="9"/>
  <c r="D193" i="9"/>
  <c r="D163" i="9"/>
  <c r="D243" i="9"/>
  <c r="D201" i="9"/>
  <c r="D133" i="9"/>
  <c r="D178" i="9"/>
  <c r="D146" i="9"/>
  <c r="D68" i="9"/>
  <c r="D124" i="9"/>
  <c r="D237" i="9"/>
  <c r="D166" i="9"/>
  <c r="D19" i="9"/>
  <c r="D23" i="9"/>
  <c r="D6" i="9"/>
  <c r="D29" i="9"/>
  <c r="D85" i="9"/>
  <c r="D31" i="9"/>
  <c r="D106" i="9"/>
  <c r="D112" i="9"/>
  <c r="D117" i="9"/>
  <c r="D189" i="9"/>
  <c r="D195" i="9"/>
  <c r="D151" i="9"/>
  <c r="D131" i="9"/>
  <c r="D202" i="9"/>
  <c r="D218" i="9"/>
  <c r="D181" i="9"/>
  <c r="D148" i="9"/>
  <c r="D113" i="9"/>
  <c r="D75" i="9"/>
  <c r="D239" i="9"/>
  <c r="D187" i="9"/>
  <c r="F158" i="9"/>
  <c r="F153" i="9"/>
  <c r="D216" i="9"/>
  <c r="F132" i="9"/>
  <c r="F248" i="9"/>
  <c r="F175" i="9"/>
  <c r="D25" i="9"/>
  <c r="T13" i="9"/>
  <c r="D128" i="9"/>
  <c r="D41" i="9"/>
  <c r="D83" i="9"/>
  <c r="D48" i="9"/>
  <c r="D47" i="9"/>
  <c r="D87" i="9"/>
  <c r="D97" i="9"/>
  <c r="D58" i="9"/>
  <c r="D56" i="9"/>
  <c r="D55" i="9"/>
  <c r="D105" i="9"/>
  <c r="D197" i="9"/>
  <c r="D167" i="9"/>
  <c r="D39" i="9"/>
  <c r="D37" i="9"/>
  <c r="D20" i="9"/>
  <c r="D18" i="9"/>
  <c r="D17" i="9"/>
  <c r="D21" i="9"/>
  <c r="D12" i="9"/>
  <c r="D10" i="9"/>
  <c r="D9" i="9"/>
  <c r="D15" i="9"/>
  <c r="D15" i="11" s="1"/>
  <c r="K49" i="5" s="1"/>
  <c r="D16" i="9"/>
  <c r="D14" i="9"/>
  <c r="D129" i="9"/>
  <c r="D127" i="9"/>
  <c r="D81" i="9"/>
  <c r="D45" i="9"/>
  <c r="D43" i="9"/>
  <c r="D42" i="9"/>
  <c r="D49" i="9"/>
  <c r="D92" i="9"/>
  <c r="D138" i="9"/>
  <c r="D136" i="9"/>
  <c r="D46" i="9"/>
  <c r="D95" i="9"/>
  <c r="D93" i="9"/>
  <c r="D54" i="9"/>
  <c r="D52" i="9"/>
  <c r="D51" i="9"/>
  <c r="AB70" i="9"/>
  <c r="D180" i="9"/>
  <c r="D11" i="9"/>
  <c r="D28" i="9"/>
  <c r="D13" i="9"/>
  <c r="D80" i="9"/>
  <c r="D78" i="9"/>
  <c r="D77" i="9"/>
  <c r="D44" i="9"/>
  <c r="D90" i="9"/>
  <c r="D30" i="9"/>
  <c r="D137" i="9"/>
  <c r="D57" i="9"/>
  <c r="D100" i="9"/>
  <c r="D98" i="9"/>
  <c r="D32" i="9"/>
  <c r="D143" i="9"/>
  <c r="D154" i="9"/>
  <c r="D164" i="9"/>
  <c r="D144" i="9"/>
  <c r="D142" i="9"/>
  <c r="D59" i="9"/>
  <c r="D111" i="9"/>
  <c r="D109" i="9"/>
  <c r="D66" i="9"/>
  <c r="D62" i="9"/>
  <c r="D61" i="9"/>
  <c r="D71" i="9"/>
  <c r="D120" i="9"/>
  <c r="D118" i="9"/>
  <c r="D35" i="9"/>
  <c r="D235" i="9"/>
  <c r="D233" i="9"/>
  <c r="D190" i="9"/>
  <c r="D186" i="9"/>
  <c r="D185" i="9"/>
  <c r="D155" i="9"/>
  <c r="D196" i="9"/>
  <c r="D194" i="9"/>
  <c r="D125" i="9"/>
  <c r="D211" i="9"/>
  <c r="D209" i="9"/>
  <c r="D165" i="9"/>
  <c r="D162" i="9"/>
  <c r="D161" i="9"/>
  <c r="D203" i="9"/>
  <c r="D244" i="9"/>
  <c r="D242" i="9"/>
  <c r="D159" i="9"/>
  <c r="D219" i="9"/>
  <c r="D217" i="9"/>
  <c r="D173" i="9"/>
  <c r="D170" i="9"/>
  <c r="D169" i="9"/>
  <c r="D179" i="9"/>
  <c r="D228" i="9"/>
  <c r="D226" i="9"/>
  <c r="D139" i="9"/>
  <c r="D147" i="9"/>
  <c r="D145" i="9"/>
  <c r="D108" i="9"/>
  <c r="D104" i="9"/>
  <c r="D103" i="9"/>
  <c r="D67" i="9"/>
  <c r="D116" i="9"/>
  <c r="D114" i="9"/>
  <c r="D34" i="9"/>
  <c r="D123" i="9"/>
  <c r="D121" i="9"/>
  <c r="D76" i="9"/>
  <c r="D74" i="9"/>
  <c r="D72" i="9"/>
  <c r="D191" i="9"/>
  <c r="D240" i="9"/>
  <c r="D238" i="9"/>
  <c r="D150" i="9"/>
  <c r="D199" i="9"/>
  <c r="F200" i="9"/>
  <c r="F154" i="9"/>
  <c r="D153" i="9"/>
  <c r="F213" i="9"/>
  <c r="F214" i="9"/>
  <c r="F164" i="9"/>
  <c r="D207" i="9"/>
  <c r="F246" i="9"/>
  <c r="F224" i="9"/>
  <c r="D157" i="9"/>
  <c r="D200" i="9"/>
  <c r="D198" i="9"/>
  <c r="D126" i="9"/>
  <c r="D215" i="9"/>
  <c r="D213" i="9"/>
  <c r="D168" i="9"/>
  <c r="D248" i="9"/>
  <c r="F206" i="9"/>
  <c r="F174" i="9"/>
  <c r="D224" i="9"/>
  <c r="D204" i="9"/>
  <c r="F160" i="9"/>
  <c r="F221" i="9"/>
  <c r="F134" i="9"/>
  <c r="D214" i="9"/>
  <c r="D132" i="9"/>
  <c r="D247" i="9"/>
  <c r="D245" i="9"/>
  <c r="D208" i="9"/>
  <c r="D206" i="9"/>
  <c r="F183" i="9"/>
  <c r="D246" i="9"/>
  <c r="F222" i="9"/>
  <c r="F229" i="9"/>
  <c r="D20" i="11"/>
  <c r="P49" i="5" s="1"/>
  <c r="D17" i="11"/>
  <c r="M49" i="5" s="1"/>
  <c r="F16" i="11"/>
  <c r="L51" i="5" s="1"/>
  <c r="F13" i="11"/>
  <c r="I51" i="5" s="1"/>
  <c r="F7" i="11"/>
  <c r="C51" i="5" s="1"/>
  <c r="F15" i="11"/>
  <c r="K51" i="5" s="1"/>
  <c r="F10" i="11"/>
  <c r="F51" i="5" s="1"/>
  <c r="D9" i="11"/>
  <c r="E49" i="5" s="1"/>
  <c r="D16" i="11"/>
  <c r="L49" i="5" s="1"/>
  <c r="D13" i="11"/>
  <c r="I49" i="5" s="1"/>
  <c r="D7" i="11"/>
  <c r="C49" i="5" s="1"/>
  <c r="D10" i="11"/>
  <c r="F49" i="5" s="1"/>
  <c r="D11" i="11"/>
  <c r="G49" i="5" s="1"/>
  <c r="F17" i="11"/>
  <c r="M51" i="5" s="1"/>
  <c r="F20" i="11"/>
  <c r="P51" i="5" s="1"/>
  <c r="F11" i="11"/>
  <c r="G51" i="5" s="1"/>
  <c r="F19" i="11"/>
  <c r="O51" i="5" s="1"/>
  <c r="F9" i="11"/>
  <c r="E51" i="5" s="1"/>
  <c r="F18" i="11"/>
  <c r="N51" i="5" s="1"/>
  <c r="L61" i="9"/>
  <c r="N37" i="9"/>
  <c r="H19" i="9"/>
  <c r="L53" i="9"/>
  <c r="L39" i="9"/>
  <c r="N17" i="9"/>
  <c r="H8" i="9"/>
  <c r="H39" i="9"/>
  <c r="N18" i="9"/>
  <c r="Q95" i="9"/>
  <c r="P94" i="9"/>
  <c r="Q48" i="9"/>
  <c r="Q155" i="9"/>
  <c r="D175" i="9"/>
  <c r="D134" i="9"/>
  <c r="D184" i="9"/>
  <c r="L180" i="9"/>
  <c r="N27" i="9"/>
  <c r="N236" i="9"/>
  <c r="D222" i="9"/>
  <c r="D18" i="11" s="1"/>
  <c r="N49" i="5" s="1"/>
  <c r="D231" i="9"/>
  <c r="D182" i="9"/>
  <c r="C230" i="9"/>
  <c r="C176" i="9"/>
  <c r="C175" i="9"/>
  <c r="C223" i="9"/>
  <c r="C164" i="9"/>
  <c r="C132" i="9"/>
  <c r="C216" i="9"/>
  <c r="C154" i="9"/>
  <c r="C197" i="9"/>
  <c r="C157" i="9"/>
  <c r="C188" i="9"/>
  <c r="C238" i="9"/>
  <c r="C240" i="9"/>
  <c r="C237" i="9"/>
  <c r="C72" i="9"/>
  <c r="C74" i="9"/>
  <c r="C34" i="9"/>
  <c r="C113" i="9"/>
  <c r="C67" i="9"/>
  <c r="C115" i="9"/>
  <c r="C60" i="9"/>
  <c r="C146" i="9"/>
  <c r="C108" i="9"/>
  <c r="C148" i="9"/>
  <c r="C107" i="9"/>
  <c r="C225" i="9"/>
  <c r="C179" i="9"/>
  <c r="C227" i="9"/>
  <c r="C170" i="9"/>
  <c r="C173" i="9"/>
  <c r="C171" i="9"/>
  <c r="C159" i="9"/>
  <c r="C243" i="9"/>
  <c r="C211" i="9"/>
  <c r="C206" i="9"/>
  <c r="C208" i="9"/>
  <c r="C213" i="9"/>
  <c r="C167" i="9"/>
  <c r="C215" i="9"/>
  <c r="C198" i="9"/>
  <c r="C191" i="9"/>
  <c r="C122" i="9"/>
  <c r="C76" i="9"/>
  <c r="C121" i="9"/>
  <c r="C75" i="9"/>
  <c r="C68" i="9"/>
  <c r="C147" i="9"/>
  <c r="C169" i="9"/>
  <c r="C133" i="9"/>
  <c r="C218" i="9"/>
  <c r="C220" i="9"/>
  <c r="C217" i="9"/>
  <c r="C219" i="9"/>
  <c r="C205" i="9"/>
  <c r="C244" i="9"/>
  <c r="C222" i="9"/>
  <c r="C231" i="9"/>
  <c r="C245" i="9"/>
  <c r="C166" i="9"/>
  <c r="C214" i="9"/>
  <c r="C168" i="9"/>
  <c r="C126" i="9"/>
  <c r="C199" i="9"/>
  <c r="C187" i="9"/>
  <c r="C150" i="9"/>
  <c r="C116" i="9"/>
  <c r="C145" i="9"/>
  <c r="C201" i="9"/>
  <c r="C210" i="9"/>
  <c r="C151" i="9"/>
  <c r="C156" i="9"/>
  <c r="C195" i="9"/>
  <c r="C233" i="9"/>
  <c r="C35" i="9"/>
  <c r="C118" i="9"/>
  <c r="C73" i="9"/>
  <c r="C117" i="9"/>
  <c r="C71" i="9"/>
  <c r="C110" i="9"/>
  <c r="C66" i="9"/>
  <c r="C109" i="9"/>
  <c r="C143" i="9"/>
  <c r="C55" i="9"/>
  <c r="C32" i="9"/>
  <c r="C100" i="9"/>
  <c r="C248" i="9"/>
  <c r="C239" i="9"/>
  <c r="C36" i="9"/>
  <c r="C124" i="9"/>
  <c r="C114" i="9"/>
  <c r="C104" i="9"/>
  <c r="C202" i="9"/>
  <c r="C242" i="9"/>
  <c r="C161" i="9"/>
  <c r="C131" i="9"/>
  <c r="C162" i="9"/>
  <c r="C165" i="9"/>
  <c r="C125" i="9"/>
  <c r="C234" i="9"/>
  <c r="C70" i="9"/>
  <c r="C33" i="9"/>
  <c r="C106" i="9"/>
  <c r="C98" i="9"/>
  <c r="C172" i="9"/>
  <c r="C247" i="9"/>
  <c r="C158" i="9"/>
  <c r="C200" i="9"/>
  <c r="C123" i="9"/>
  <c r="C63" i="9"/>
  <c r="C64" i="9"/>
  <c r="C103" i="9"/>
  <c r="C177" i="9"/>
  <c r="C139" i="9"/>
  <c r="C178" i="9"/>
  <c r="C226" i="9"/>
  <c r="C203" i="9"/>
  <c r="C212" i="9"/>
  <c r="C209" i="9"/>
  <c r="C152" i="9"/>
  <c r="C196" i="9"/>
  <c r="C155" i="9"/>
  <c r="C190" i="9"/>
  <c r="C189" i="9"/>
  <c r="C235" i="9"/>
  <c r="C69" i="9"/>
  <c r="C112" i="9"/>
  <c r="C65" i="9"/>
  <c r="C111" i="9"/>
  <c r="C101" i="9"/>
  <c r="C59" i="9"/>
  <c r="C144" i="9"/>
  <c r="C141" i="9"/>
  <c r="C56" i="9"/>
  <c r="C57" i="9"/>
  <c r="C207" i="9"/>
  <c r="C153" i="9"/>
  <c r="C186" i="9"/>
  <c r="C236" i="9"/>
  <c r="C120" i="9"/>
  <c r="C61" i="9"/>
  <c r="C97" i="9"/>
  <c r="C52" i="9"/>
  <c r="C54" i="9"/>
  <c r="C96" i="9"/>
  <c r="C53" i="9"/>
  <c r="C85" i="9"/>
  <c r="C87" i="9"/>
  <c r="C30" i="9"/>
  <c r="C48" i="9"/>
  <c r="C90" i="9"/>
  <c r="C45" i="9"/>
  <c r="C7" i="9"/>
  <c r="C26" i="9"/>
  <c r="C15" i="9"/>
  <c r="C9" i="9"/>
  <c r="C10" i="9"/>
  <c r="C12" i="9"/>
  <c r="C24" i="9"/>
  <c r="C241" i="9"/>
  <c r="C194" i="9"/>
  <c r="C149" i="9"/>
  <c r="C119" i="9"/>
  <c r="C142" i="9"/>
  <c r="C58" i="9"/>
  <c r="C31" i="9"/>
  <c r="C136" i="9"/>
  <c r="C89" i="9"/>
  <c r="C42" i="9"/>
  <c r="C29" i="9"/>
  <c r="C82" i="9"/>
  <c r="C44" i="9"/>
  <c r="C83" i="9"/>
  <c r="C77" i="9"/>
  <c r="C80" i="9"/>
  <c r="C127" i="9"/>
  <c r="C16" i="9"/>
  <c r="C25" i="9"/>
  <c r="C27" i="9"/>
  <c r="C6" i="9"/>
  <c r="C21" i="9"/>
  <c r="C192" i="9"/>
  <c r="C228" i="9"/>
  <c r="C193" i="9"/>
  <c r="C185" i="9"/>
  <c r="C62" i="9"/>
  <c r="C102" i="9"/>
  <c r="C51" i="9"/>
  <c r="C93" i="9"/>
  <c r="C86" i="9"/>
  <c r="C88" i="9"/>
  <c r="C138" i="9"/>
  <c r="C137" i="9"/>
  <c r="C47" i="9"/>
  <c r="C92" i="9"/>
  <c r="C91" i="9"/>
  <c r="C43" i="9"/>
  <c r="C84" i="9"/>
  <c r="C41" i="9"/>
  <c r="C129" i="9"/>
  <c r="C14" i="9"/>
  <c r="C22" i="9"/>
  <c r="C17" i="9"/>
  <c r="H175" i="9"/>
  <c r="H221" i="9"/>
  <c r="H136" i="9"/>
  <c r="H89" i="9"/>
  <c r="H42" i="9"/>
  <c r="H29" i="9"/>
  <c r="H82" i="9"/>
  <c r="H44" i="9"/>
  <c r="H83" i="9"/>
  <c r="H77" i="9"/>
  <c r="H80" i="9"/>
  <c r="H127" i="9"/>
  <c r="H16" i="9"/>
  <c r="H25" i="9"/>
  <c r="H27" i="9"/>
  <c r="H6" i="9"/>
  <c r="H86" i="9"/>
  <c r="H88" i="9"/>
  <c r="H138" i="9"/>
  <c r="H137" i="9"/>
  <c r="H47" i="9"/>
  <c r="H92" i="9"/>
  <c r="H91" i="9"/>
  <c r="H43" i="9"/>
  <c r="H84" i="9"/>
  <c r="H41" i="9"/>
  <c r="H129" i="9"/>
  <c r="H14" i="9"/>
  <c r="H22" i="9"/>
  <c r="H17" i="9"/>
  <c r="H135" i="9"/>
  <c r="H50" i="9"/>
  <c r="H49" i="9"/>
  <c r="H81" i="9"/>
  <c r="H78" i="9"/>
  <c r="H128" i="9"/>
  <c r="H130" i="9"/>
  <c r="H79" i="9"/>
  <c r="H13" i="9"/>
  <c r="H28" i="9"/>
  <c r="L140" i="9"/>
  <c r="L160" i="9"/>
  <c r="L208" i="9"/>
  <c r="L216" i="9"/>
  <c r="L213" i="9"/>
  <c r="L167" i="9"/>
  <c r="L215" i="9"/>
  <c r="L198" i="9"/>
  <c r="L238" i="9"/>
  <c r="L34" i="9"/>
  <c r="L68" i="9"/>
  <c r="L219" i="9"/>
  <c r="L159" i="9"/>
  <c r="L205" i="9"/>
  <c r="L212" i="9"/>
  <c r="L211" i="9"/>
  <c r="L182" i="9"/>
  <c r="L184" i="9"/>
  <c r="L232" i="9"/>
  <c r="L183" i="9"/>
  <c r="L231" i="9"/>
  <c r="L176" i="9"/>
  <c r="L206" i="9"/>
  <c r="L126" i="9"/>
  <c r="L192" i="9"/>
  <c r="L191" i="9"/>
  <c r="L36" i="9"/>
  <c r="L64" i="9"/>
  <c r="L114" i="9"/>
  <c r="L147" i="9"/>
  <c r="L177" i="9"/>
  <c r="L181" i="9"/>
  <c r="L217" i="9"/>
  <c r="L201" i="9"/>
  <c r="L246" i="9"/>
  <c r="L248" i="9"/>
  <c r="L239" i="9"/>
  <c r="L72" i="9"/>
  <c r="L202" i="9"/>
  <c r="L242" i="9"/>
  <c r="L125" i="9"/>
  <c r="L234" i="9"/>
  <c r="L233" i="9"/>
  <c r="L33" i="9"/>
  <c r="L66" i="9"/>
  <c r="L98" i="9"/>
  <c r="L237" i="9"/>
  <c r="L115" i="9"/>
  <c r="L139" i="9"/>
  <c r="L178" i="9"/>
  <c r="L171" i="9"/>
  <c r="L165" i="9"/>
  <c r="L209" i="9"/>
  <c r="L152" i="9"/>
  <c r="L190" i="9"/>
  <c r="L189" i="9"/>
  <c r="L235" i="9"/>
  <c r="L69" i="9"/>
  <c r="L112" i="9"/>
  <c r="L65" i="9"/>
  <c r="L174" i="9"/>
  <c r="L240" i="9"/>
  <c r="L67" i="9"/>
  <c r="L226" i="9"/>
  <c r="L228" i="9"/>
  <c r="L225" i="9"/>
  <c r="L163" i="9"/>
  <c r="L236" i="9"/>
  <c r="L62" i="9"/>
  <c r="L56" i="9"/>
  <c r="L58" i="9"/>
  <c r="L113" i="9"/>
  <c r="L151" i="9"/>
  <c r="L110" i="9"/>
  <c r="L55" i="9"/>
  <c r="L96" i="9"/>
  <c r="L46" i="9"/>
  <c r="L30" i="9"/>
  <c r="L90" i="9"/>
  <c r="L92" i="9"/>
  <c r="L78" i="9"/>
  <c r="L79" i="9"/>
  <c r="L13" i="9"/>
  <c r="L7" i="9"/>
  <c r="L26" i="9"/>
  <c r="L154" i="9"/>
  <c r="L116" i="9"/>
  <c r="L109" i="9"/>
  <c r="L143" i="9"/>
  <c r="L87" i="9"/>
  <c r="L89" i="9"/>
  <c r="L82" i="9"/>
  <c r="L44" i="9"/>
  <c r="L12" i="9"/>
  <c r="L23" i="9"/>
  <c r="L105" i="9"/>
  <c r="L93" i="9"/>
  <c r="L86" i="9"/>
  <c r="L88" i="9"/>
  <c r="L43" i="9"/>
  <c r="L80" i="9"/>
  <c r="L25" i="9"/>
  <c r="L27" i="9"/>
  <c r="L6" i="9"/>
  <c r="L21" i="9"/>
  <c r="P140" i="9"/>
  <c r="P75" i="9"/>
  <c r="P115" i="9"/>
  <c r="P227" i="9"/>
  <c r="P242" i="9"/>
  <c r="P182" i="9"/>
  <c r="P153" i="9"/>
  <c r="P148" i="9"/>
  <c r="P230" i="9"/>
  <c r="P183" i="9"/>
  <c r="P206" i="9"/>
  <c r="P208" i="9"/>
  <c r="P184" i="9"/>
  <c r="P150" i="9"/>
  <c r="P36" i="9"/>
  <c r="P56" i="9"/>
  <c r="P222" i="9"/>
  <c r="P247" i="9"/>
  <c r="P239" i="9"/>
  <c r="P114" i="9"/>
  <c r="P104" i="9"/>
  <c r="P217" i="9"/>
  <c r="P66" i="9"/>
  <c r="P109" i="9"/>
  <c r="P106" i="9"/>
  <c r="P200" i="9"/>
  <c r="P190" i="9"/>
  <c r="P69" i="9"/>
  <c r="P33" i="9"/>
  <c r="P59" i="9"/>
  <c r="P57" i="9"/>
  <c r="P166" i="9"/>
  <c r="P121" i="9"/>
  <c r="P194" i="9"/>
  <c r="P88" i="9"/>
  <c r="P130" i="9"/>
  <c r="P28" i="9"/>
  <c r="P145" i="9"/>
  <c r="P53" i="9"/>
  <c r="P46" i="9"/>
  <c r="P29" i="9"/>
  <c r="P163" i="9"/>
  <c r="P41" i="9"/>
  <c r="P78" i="9"/>
  <c r="P129" i="9"/>
  <c r="P13" i="9"/>
  <c r="T58" i="9"/>
  <c r="M180" i="9"/>
  <c r="J39" i="9"/>
  <c r="C39" i="9"/>
  <c r="C19" i="9"/>
  <c r="L37" i="9"/>
  <c r="C20" i="9"/>
  <c r="K18" i="9"/>
  <c r="C18" i="9"/>
  <c r="K17" i="9"/>
  <c r="H23" i="9"/>
  <c r="H11" i="9"/>
  <c r="H24" i="9"/>
  <c r="H12" i="9"/>
  <c r="H9" i="9"/>
  <c r="M28" i="9"/>
  <c r="H7" i="9"/>
  <c r="L130" i="9"/>
  <c r="L77" i="9"/>
  <c r="C81" i="9"/>
  <c r="L91" i="9"/>
  <c r="L50" i="9"/>
  <c r="H90" i="9"/>
  <c r="H48" i="9"/>
  <c r="H30" i="9"/>
  <c r="H87" i="9"/>
  <c r="C46" i="9"/>
  <c r="K140" i="9"/>
  <c r="K182" i="9"/>
  <c r="K172" i="9"/>
  <c r="K134" i="9"/>
  <c r="K206" i="9"/>
  <c r="K191" i="9"/>
  <c r="K121" i="9"/>
  <c r="K147" i="9"/>
  <c r="K217" i="9"/>
  <c r="K244" i="9"/>
  <c r="K222" i="9"/>
  <c r="K223" i="9"/>
  <c r="K158" i="9"/>
  <c r="K116" i="9"/>
  <c r="K103" i="9"/>
  <c r="K204" i="9"/>
  <c r="K245" i="9"/>
  <c r="K74" i="9"/>
  <c r="K161" i="9"/>
  <c r="K165" i="9"/>
  <c r="K97" i="9"/>
  <c r="K34" i="9"/>
  <c r="K226" i="9"/>
  <c r="K179" i="9"/>
  <c r="K155" i="9"/>
  <c r="K111" i="9"/>
  <c r="K56" i="9"/>
  <c r="K153" i="9"/>
  <c r="K238" i="9"/>
  <c r="K211" i="9"/>
  <c r="K194" i="9"/>
  <c r="K186" i="9"/>
  <c r="K120" i="9"/>
  <c r="K61" i="9"/>
  <c r="K142" i="9"/>
  <c r="K105" i="9"/>
  <c r="K31" i="9"/>
  <c r="K159" i="9"/>
  <c r="K35" i="9"/>
  <c r="K87" i="9"/>
  <c r="K10" i="9"/>
  <c r="K12" i="9"/>
  <c r="K132" i="9"/>
  <c r="K216" i="9"/>
  <c r="K136" i="9"/>
  <c r="K80" i="9"/>
  <c r="K16" i="9"/>
  <c r="K25" i="9"/>
  <c r="K27" i="9"/>
  <c r="K21" i="9"/>
  <c r="K199" i="9"/>
  <c r="K170" i="9"/>
  <c r="K233" i="9"/>
  <c r="K138" i="9"/>
  <c r="K47" i="9"/>
  <c r="K77" i="9"/>
  <c r="K14" i="9"/>
  <c r="O140" i="9"/>
  <c r="O182" i="9"/>
  <c r="O237" i="9"/>
  <c r="O74" i="9"/>
  <c r="O148" i="9"/>
  <c r="O226" i="9"/>
  <c r="O173" i="9"/>
  <c r="O230" i="9"/>
  <c r="O172" i="9"/>
  <c r="O166" i="9"/>
  <c r="O198" i="9"/>
  <c r="O72" i="9"/>
  <c r="O76" i="9"/>
  <c r="O34" i="9"/>
  <c r="O184" i="9"/>
  <c r="O231" i="9"/>
  <c r="O164" i="9"/>
  <c r="O168" i="9"/>
  <c r="O114" i="9"/>
  <c r="O146" i="9"/>
  <c r="O201" i="9"/>
  <c r="O159" i="9"/>
  <c r="O210" i="9"/>
  <c r="O156" i="9"/>
  <c r="O61" i="9"/>
  <c r="O106" i="9"/>
  <c r="O100" i="9"/>
  <c r="O200" i="9"/>
  <c r="O242" i="9"/>
  <c r="O203" i="9"/>
  <c r="O234" i="9"/>
  <c r="O98" i="9"/>
  <c r="O246" i="9"/>
  <c r="O121" i="9"/>
  <c r="O103" i="9"/>
  <c r="O209" i="9"/>
  <c r="O152" i="9"/>
  <c r="O112" i="9"/>
  <c r="O102" i="9"/>
  <c r="O141" i="9"/>
  <c r="O150" i="9"/>
  <c r="O9" i="9"/>
  <c r="O192" i="9"/>
  <c r="O50" i="9"/>
  <c r="O49" i="9"/>
  <c r="O77" i="9"/>
  <c r="O126" i="9"/>
  <c r="O57" i="9"/>
  <c r="O94" i="9"/>
  <c r="O48" i="9"/>
  <c r="O90" i="9"/>
  <c r="O89" i="9"/>
  <c r="O44" i="9"/>
  <c r="O12" i="9"/>
  <c r="K20" i="9"/>
  <c r="O22" i="9"/>
  <c r="K49" i="9"/>
  <c r="K108" i="9"/>
  <c r="Q140" i="9"/>
  <c r="Q184" i="9"/>
  <c r="Q246" i="9"/>
  <c r="Q154" i="9"/>
  <c r="Q121" i="9"/>
  <c r="Q114" i="9"/>
  <c r="Q107" i="9"/>
  <c r="Q171" i="9"/>
  <c r="Q165" i="9"/>
  <c r="Q174" i="9"/>
  <c r="Q132" i="9"/>
  <c r="Q238" i="9"/>
  <c r="Q75" i="9"/>
  <c r="Q115" i="9"/>
  <c r="Q226" i="9"/>
  <c r="Q219" i="9"/>
  <c r="Q182" i="9"/>
  <c r="Q176" i="9"/>
  <c r="Q126" i="9"/>
  <c r="Q191" i="9"/>
  <c r="Q145" i="9"/>
  <c r="Q151" i="9"/>
  <c r="Q186" i="9"/>
  <c r="Q142" i="9"/>
  <c r="Q223" i="9"/>
  <c r="Q36" i="9"/>
  <c r="Q123" i="9"/>
  <c r="Q156" i="9"/>
  <c r="Q32" i="9"/>
  <c r="Q230" i="9"/>
  <c r="Q215" i="9"/>
  <c r="Q63" i="9"/>
  <c r="Q181" i="9"/>
  <c r="Q217" i="9"/>
  <c r="Q244" i="9"/>
  <c r="Q203" i="9"/>
  <c r="Q196" i="9"/>
  <c r="Q98" i="9"/>
  <c r="Q58" i="9"/>
  <c r="Q86" i="9"/>
  <c r="Q43" i="9"/>
  <c r="Q211" i="9"/>
  <c r="Q96" i="9"/>
  <c r="Q88" i="9"/>
  <c r="Q45" i="9"/>
  <c r="Q7" i="9"/>
  <c r="Q17" i="9"/>
  <c r="Q148" i="9"/>
  <c r="Q112" i="9"/>
  <c r="Q53" i="9"/>
  <c r="Q180" i="9"/>
  <c r="K37" i="9"/>
  <c r="C37" i="9"/>
  <c r="C40" i="9"/>
  <c r="H20" i="9"/>
  <c r="O38" i="9"/>
  <c r="C38" i="9"/>
  <c r="H18" i="9"/>
  <c r="N8" i="9"/>
  <c r="H21" i="9"/>
  <c r="O14" i="9"/>
  <c r="C79" i="9"/>
  <c r="C128" i="9"/>
  <c r="C78" i="9"/>
  <c r="P44" i="9"/>
  <c r="L81" i="9"/>
  <c r="O43" i="9"/>
  <c r="K92" i="9"/>
  <c r="O88" i="9"/>
  <c r="K46" i="9"/>
  <c r="K96" i="9"/>
  <c r="L100" i="9"/>
  <c r="C163" i="9"/>
  <c r="L153" i="9"/>
  <c r="K23" i="9"/>
  <c r="O30" i="9"/>
  <c r="T19" i="9"/>
  <c r="T62" i="9"/>
  <c r="M140" i="9"/>
  <c r="M174" i="9"/>
  <c r="M76" i="9"/>
  <c r="M169" i="9"/>
  <c r="M220" i="9"/>
  <c r="M224" i="9"/>
  <c r="M203" i="9"/>
  <c r="M182" i="9"/>
  <c r="M222" i="9"/>
  <c r="M223" i="9"/>
  <c r="M247" i="9"/>
  <c r="M104" i="9"/>
  <c r="M230" i="9"/>
  <c r="M197" i="9"/>
  <c r="M63" i="9"/>
  <c r="M196" i="9"/>
  <c r="M59" i="9"/>
  <c r="M141" i="9"/>
  <c r="M229" i="9"/>
  <c r="M149" i="9"/>
  <c r="M119" i="9"/>
  <c r="M99" i="9"/>
  <c r="M107" i="9"/>
  <c r="M210" i="9"/>
  <c r="M49" i="9"/>
  <c r="M45" i="9"/>
  <c r="M128" i="9"/>
  <c r="M118" i="9"/>
  <c r="M30" i="9"/>
  <c r="M13" i="9"/>
  <c r="M10" i="9"/>
  <c r="M168" i="9"/>
  <c r="M82" i="9"/>
  <c r="M84" i="9"/>
  <c r="M127" i="9"/>
  <c r="M16" i="9"/>
  <c r="M22" i="9"/>
  <c r="J48" i="9"/>
  <c r="J15" i="9"/>
  <c r="J24" i="9"/>
  <c r="J93" i="9"/>
  <c r="J77" i="9"/>
  <c r="J127" i="9"/>
  <c r="J6" i="9"/>
  <c r="J95" i="9"/>
  <c r="J46" i="9"/>
  <c r="J92" i="9"/>
  <c r="J91" i="9"/>
  <c r="J17" i="9"/>
  <c r="N140" i="9"/>
  <c r="N230" i="9"/>
  <c r="N132" i="9"/>
  <c r="N153" i="9"/>
  <c r="N72" i="9"/>
  <c r="N122" i="9"/>
  <c r="N170" i="9"/>
  <c r="N134" i="9"/>
  <c r="N208" i="9"/>
  <c r="N215" i="9"/>
  <c r="N121" i="9"/>
  <c r="N123" i="9"/>
  <c r="N68" i="9"/>
  <c r="N159" i="9"/>
  <c r="N244" i="9"/>
  <c r="N207" i="9"/>
  <c r="N182" i="9"/>
  <c r="N116" i="9"/>
  <c r="N227" i="9"/>
  <c r="N173" i="9"/>
  <c r="N131" i="9"/>
  <c r="N35" i="9"/>
  <c r="N109" i="9"/>
  <c r="N32" i="9"/>
  <c r="N158" i="9"/>
  <c r="N103" i="9"/>
  <c r="N177" i="9"/>
  <c r="N212" i="9"/>
  <c r="N125" i="9"/>
  <c r="N233" i="9"/>
  <c r="N33" i="9"/>
  <c r="N101" i="9"/>
  <c r="N144" i="9"/>
  <c r="N192" i="9"/>
  <c r="N148" i="9"/>
  <c r="N155" i="9"/>
  <c r="N185" i="9"/>
  <c r="N52" i="9"/>
  <c r="N142" i="9"/>
  <c r="N53" i="9"/>
  <c r="N50" i="9"/>
  <c r="N91" i="9"/>
  <c r="N77" i="9"/>
  <c r="N187" i="9"/>
  <c r="N228" i="9"/>
  <c r="N201" i="9"/>
  <c r="N48" i="9"/>
  <c r="N90" i="9"/>
  <c r="N78" i="9"/>
  <c r="N79" i="9"/>
  <c r="N117" i="9"/>
  <c r="N56" i="9"/>
  <c r="N30" i="9"/>
  <c r="AF42" i="9"/>
  <c r="K180" i="9"/>
  <c r="N39" i="9"/>
  <c r="O37" i="9"/>
  <c r="H37" i="9"/>
  <c r="H40" i="9"/>
  <c r="N20" i="9"/>
  <c r="H38" i="9"/>
  <c r="P18" i="9"/>
  <c r="L8" i="9"/>
  <c r="C8" i="9"/>
  <c r="H10" i="9"/>
  <c r="H15" i="9"/>
  <c r="H26" i="9"/>
  <c r="K79" i="9"/>
  <c r="J128" i="9"/>
  <c r="K78" i="9"/>
  <c r="O82" i="9"/>
  <c r="C49" i="9"/>
  <c r="C135" i="9"/>
  <c r="M86" i="9"/>
  <c r="C95" i="9"/>
  <c r="O93" i="9"/>
  <c r="C94" i="9"/>
  <c r="N97" i="9"/>
  <c r="L32" i="9"/>
  <c r="K66" i="9"/>
  <c r="L186" i="9"/>
  <c r="N156" i="9"/>
  <c r="C181" i="9"/>
  <c r="M188" i="9"/>
  <c r="N214" i="9"/>
  <c r="AB38" i="9"/>
  <c r="T17" i="9"/>
  <c r="AC22" i="9"/>
  <c r="AB7" i="9"/>
  <c r="X41" i="9"/>
  <c r="AF43" i="9"/>
  <c r="Y29" i="9"/>
  <c r="X92" i="9"/>
  <c r="U87" i="9"/>
  <c r="Y95" i="9"/>
  <c r="AF101" i="9"/>
  <c r="X180" i="9"/>
  <c r="AB8" i="9"/>
  <c r="U6" i="9"/>
  <c r="AC16" i="9"/>
  <c r="T14" i="9"/>
  <c r="X84" i="9"/>
  <c r="AF89" i="9"/>
  <c r="X136" i="9"/>
  <c r="Y54" i="9"/>
  <c r="AF180" i="9"/>
  <c r="AF19" i="9"/>
  <c r="AB24" i="9"/>
  <c r="AC27" i="9"/>
  <c r="Y28" i="9"/>
  <c r="AB42" i="9"/>
  <c r="T151" i="9"/>
  <c r="V15" i="9"/>
  <c r="AD83" i="9"/>
  <c r="Z91" i="9"/>
  <c r="Z180" i="9"/>
  <c r="AD19" i="9"/>
  <c r="AD37" i="9"/>
  <c r="AC40" i="9"/>
  <c r="X38" i="9"/>
  <c r="X8" i="9"/>
  <c r="AF17" i="9"/>
  <c r="AD23" i="9"/>
  <c r="AF21" i="9"/>
  <c r="X24" i="9"/>
  <c r="Y22" i="9"/>
  <c r="AC10" i="9"/>
  <c r="Z9" i="9"/>
  <c r="Y27" i="9"/>
  <c r="U28" i="9"/>
  <c r="Y16" i="9"/>
  <c r="AC26" i="9"/>
  <c r="AF14" i="9"/>
  <c r="X7" i="9"/>
  <c r="AF13" i="9"/>
  <c r="AD129" i="9"/>
  <c r="AC79" i="9"/>
  <c r="V127" i="9"/>
  <c r="Z130" i="9"/>
  <c r="AD80" i="9"/>
  <c r="V78" i="9"/>
  <c r="T41" i="9"/>
  <c r="Z83" i="9"/>
  <c r="X44" i="9"/>
  <c r="T84" i="9"/>
  <c r="AB43" i="9"/>
  <c r="U29" i="9"/>
  <c r="X42" i="9"/>
  <c r="V91" i="9"/>
  <c r="AB89" i="9"/>
  <c r="T92" i="9"/>
  <c r="AC50" i="9"/>
  <c r="V90" i="9"/>
  <c r="AC30" i="9"/>
  <c r="U135" i="9"/>
  <c r="V88" i="9"/>
  <c r="T136" i="9"/>
  <c r="T55" i="9"/>
  <c r="V144" i="9"/>
  <c r="AD111" i="9"/>
  <c r="V195" i="9"/>
  <c r="AB210" i="9"/>
  <c r="Z127" i="9"/>
  <c r="Z90" i="9"/>
  <c r="T180" i="9"/>
  <c r="AB180" i="9"/>
  <c r="AB19" i="9"/>
  <c r="Z37" i="9"/>
  <c r="Y40" i="9"/>
  <c r="T38" i="9"/>
  <c r="T8" i="9"/>
  <c r="AB17" i="9"/>
  <c r="Z23" i="9"/>
  <c r="AD11" i="9"/>
  <c r="AB21" i="9"/>
  <c r="T24" i="9"/>
  <c r="U22" i="9"/>
  <c r="Y10" i="9"/>
  <c r="AC6" i="9"/>
  <c r="V9" i="9"/>
  <c r="U27" i="9"/>
  <c r="AD15" i="9"/>
  <c r="AC25" i="9"/>
  <c r="U16" i="9"/>
  <c r="Y26" i="9"/>
  <c r="AB14" i="9"/>
  <c r="T7" i="9"/>
  <c r="AB13" i="9"/>
  <c r="Z129" i="9"/>
  <c r="Y79" i="9"/>
  <c r="V130" i="9"/>
  <c r="Z80" i="9"/>
  <c r="AD128" i="9"/>
  <c r="AF41" i="9"/>
  <c r="V83" i="9"/>
  <c r="T44" i="9"/>
  <c r="AC81" i="9"/>
  <c r="AF84" i="9"/>
  <c r="X43" i="9"/>
  <c r="T42" i="9"/>
  <c r="X89" i="9"/>
  <c r="AF92" i="9"/>
  <c r="Y50" i="9"/>
  <c r="Y30" i="9"/>
  <c r="AC87" i="9"/>
  <c r="AF136" i="9"/>
  <c r="AF46" i="9"/>
  <c r="Z53" i="9"/>
  <c r="AC93" i="9"/>
  <c r="AB52" i="9"/>
  <c r="AB32" i="9"/>
  <c r="AF105" i="9"/>
  <c r="T106" i="9"/>
  <c r="AC59" i="9"/>
  <c r="AB65" i="9"/>
  <c r="AD112" i="9"/>
  <c r="Z119" i="9"/>
  <c r="X243" i="9"/>
  <c r="AF63" i="9"/>
  <c r="V11" i="9"/>
  <c r="AD9" i="9"/>
  <c r="AD130" i="9"/>
  <c r="V128" i="9"/>
  <c r="Z78" i="9"/>
  <c r="Z88" i="9"/>
  <c r="V85" i="9"/>
  <c r="V180" i="9"/>
  <c r="AD180" i="9"/>
  <c r="X19" i="9"/>
  <c r="V37" i="9"/>
  <c r="U40" i="9"/>
  <c r="AF38" i="9"/>
  <c r="AF8" i="9"/>
  <c r="X17" i="9"/>
  <c r="V23" i="9"/>
  <c r="Z11" i="9"/>
  <c r="X21" i="9"/>
  <c r="AF24" i="9"/>
  <c r="U10" i="9"/>
  <c r="Y6" i="9"/>
  <c r="Z15" i="9"/>
  <c r="Y25" i="9"/>
  <c r="AC28" i="9"/>
  <c r="U26" i="9"/>
  <c r="X14" i="9"/>
  <c r="AF7" i="9"/>
  <c r="X13" i="9"/>
  <c r="V129" i="9"/>
  <c r="U79" i="9"/>
  <c r="AD127" i="9"/>
  <c r="V80" i="9"/>
  <c r="Z128" i="9"/>
  <c r="AD78" i="9"/>
  <c r="AB41" i="9"/>
  <c r="AF44" i="9"/>
  <c r="Y81" i="9"/>
  <c r="AB84" i="9"/>
  <c r="T43" i="9"/>
  <c r="AC29" i="9"/>
  <c r="AD91" i="9"/>
  <c r="T89" i="9"/>
  <c r="AB92" i="9"/>
  <c r="U50" i="9"/>
  <c r="AD90" i="9"/>
  <c r="U30" i="9"/>
  <c r="Y87" i="9"/>
  <c r="AC135" i="9"/>
  <c r="AD88" i="9"/>
  <c r="AB136" i="9"/>
  <c r="Y46" i="9"/>
  <c r="AD85" i="9"/>
  <c r="U93" i="9"/>
  <c r="Z31" i="9"/>
  <c r="Z109" i="9"/>
  <c r="V110" i="9"/>
  <c r="V61" i="9"/>
  <c r="S140" i="9"/>
  <c r="S184" i="9"/>
  <c r="S183" i="9"/>
  <c r="S176" i="9"/>
  <c r="S248" i="9"/>
  <c r="S230" i="9"/>
  <c r="S134" i="9"/>
  <c r="S224" i="9"/>
  <c r="S221" i="9"/>
  <c r="S223" i="9"/>
  <c r="S182" i="9"/>
  <c r="S231" i="9"/>
  <c r="S204" i="9"/>
  <c r="S160" i="9"/>
  <c r="S206" i="9"/>
  <c r="S246" i="9"/>
  <c r="S208" i="9"/>
  <c r="S245" i="9"/>
  <c r="S232" i="9"/>
  <c r="S222" i="9"/>
  <c r="S164" i="9"/>
  <c r="S132" i="9"/>
  <c r="S168" i="9"/>
  <c r="S153" i="9"/>
  <c r="S126" i="9"/>
  <c r="S200" i="9"/>
  <c r="S175" i="9"/>
  <c r="S214" i="9"/>
  <c r="S213" i="9"/>
  <c r="S229" i="9"/>
  <c r="S174" i="9"/>
  <c r="S247" i="9"/>
  <c r="S198" i="9"/>
  <c r="S172" i="9"/>
  <c r="S167" i="9"/>
  <c r="S158" i="9"/>
  <c r="S197" i="9"/>
  <c r="S150" i="9"/>
  <c r="S240" i="9"/>
  <c r="S75" i="9"/>
  <c r="S166" i="9"/>
  <c r="S216" i="9"/>
  <c r="S157" i="9"/>
  <c r="S187" i="9"/>
  <c r="S74" i="9"/>
  <c r="S215" i="9"/>
  <c r="S154" i="9"/>
  <c r="S188" i="9"/>
  <c r="S238" i="9"/>
  <c r="S192" i="9"/>
  <c r="S239" i="9"/>
  <c r="S72" i="9"/>
  <c r="S36" i="9"/>
  <c r="S76" i="9"/>
  <c r="S63" i="9"/>
  <c r="S34" i="9"/>
  <c r="S207" i="9"/>
  <c r="S191" i="9"/>
  <c r="S113" i="9"/>
  <c r="S146" i="9"/>
  <c r="S147" i="9"/>
  <c r="S226" i="9"/>
  <c r="S225" i="9"/>
  <c r="S133" i="9"/>
  <c r="S218" i="9"/>
  <c r="S219" i="9"/>
  <c r="S201" i="9"/>
  <c r="S122" i="9"/>
  <c r="S124" i="9"/>
  <c r="S121" i="9"/>
  <c r="S123" i="9"/>
  <c r="S107" i="9"/>
  <c r="S139" i="9"/>
  <c r="S227" i="9"/>
  <c r="S220" i="9"/>
  <c r="S171" i="9"/>
  <c r="S159" i="9"/>
  <c r="S237" i="9"/>
  <c r="S64" i="9"/>
  <c r="S68" i="9"/>
  <c r="S116" i="9"/>
  <c r="S67" i="9"/>
  <c r="S115" i="9"/>
  <c r="S103" i="9"/>
  <c r="S104" i="9"/>
  <c r="S108" i="9"/>
  <c r="S145" i="9"/>
  <c r="S228" i="9"/>
  <c r="S179" i="9"/>
  <c r="S217" i="9"/>
  <c r="S114" i="9"/>
  <c r="S148" i="9"/>
  <c r="S181" i="9"/>
  <c r="S169" i="9"/>
  <c r="S161" i="9"/>
  <c r="S209" i="9"/>
  <c r="S152" i="9"/>
  <c r="S195" i="9"/>
  <c r="S149" i="9"/>
  <c r="S186" i="9"/>
  <c r="S69" i="9"/>
  <c r="S70" i="9"/>
  <c r="S60" i="9"/>
  <c r="S178" i="9"/>
  <c r="S202" i="9"/>
  <c r="S205" i="9"/>
  <c r="S241" i="9"/>
  <c r="S203" i="9"/>
  <c r="S212" i="9"/>
  <c r="S125" i="9"/>
  <c r="S236" i="9"/>
  <c r="S233" i="9"/>
  <c r="S177" i="9"/>
  <c r="S173" i="9"/>
  <c r="S242" i="9"/>
  <c r="S244" i="9"/>
  <c r="S243" i="9"/>
  <c r="S131" i="9"/>
  <c r="S210" i="9"/>
  <c r="S165" i="9"/>
  <c r="S151" i="9"/>
  <c r="S196" i="9"/>
  <c r="S185" i="9"/>
  <c r="S190" i="9"/>
  <c r="S118" i="9"/>
  <c r="S170" i="9"/>
  <c r="S162" i="9"/>
  <c r="S163" i="9"/>
  <c r="S194" i="9"/>
  <c r="S155" i="9"/>
  <c r="S73" i="9"/>
  <c r="S119" i="9"/>
  <c r="S61" i="9"/>
  <c r="S33" i="9"/>
  <c r="S110" i="9"/>
  <c r="S66" i="9"/>
  <c r="S112" i="9"/>
  <c r="S109" i="9"/>
  <c r="S111" i="9"/>
  <c r="S144" i="9"/>
  <c r="S143" i="9"/>
  <c r="S97" i="9"/>
  <c r="S31" i="9"/>
  <c r="S53" i="9"/>
  <c r="S85" i="9"/>
  <c r="S199" i="9"/>
  <c r="S189" i="9"/>
  <c r="S235" i="9"/>
  <c r="S35" i="9"/>
  <c r="S117" i="9"/>
  <c r="S59" i="9"/>
  <c r="S100" i="9"/>
  <c r="S99" i="9"/>
  <c r="S94" i="9"/>
  <c r="S211" i="9"/>
  <c r="S156" i="9"/>
  <c r="S193" i="9"/>
  <c r="S71" i="9"/>
  <c r="S62" i="9"/>
  <c r="S65" i="9"/>
  <c r="S101" i="9"/>
  <c r="S106" i="9"/>
  <c r="S105" i="9"/>
  <c r="S55" i="9"/>
  <c r="S32" i="9"/>
  <c r="S58" i="9"/>
  <c r="S51" i="9"/>
  <c r="S52" i="9"/>
  <c r="W140" i="9"/>
  <c r="W184" i="9"/>
  <c r="W183" i="9"/>
  <c r="W176" i="9"/>
  <c r="W248" i="9"/>
  <c r="W230" i="9"/>
  <c r="W134" i="9"/>
  <c r="W224" i="9"/>
  <c r="W221" i="9"/>
  <c r="W223" i="9"/>
  <c r="W182" i="9"/>
  <c r="W231" i="9"/>
  <c r="W204" i="9"/>
  <c r="W160" i="9"/>
  <c r="W206" i="9"/>
  <c r="W246" i="9"/>
  <c r="W208" i="9"/>
  <c r="W245" i="9"/>
  <c r="W172" i="9"/>
  <c r="W164" i="9"/>
  <c r="W132" i="9"/>
  <c r="W168" i="9"/>
  <c r="W153" i="9"/>
  <c r="W126" i="9"/>
  <c r="W200" i="9"/>
  <c r="W232" i="9"/>
  <c r="W222" i="9"/>
  <c r="W214" i="9"/>
  <c r="W213" i="9"/>
  <c r="W175" i="9"/>
  <c r="W247" i="9"/>
  <c r="W198" i="9"/>
  <c r="W207" i="9"/>
  <c r="W197" i="9"/>
  <c r="W150" i="9"/>
  <c r="W240" i="9"/>
  <c r="W75" i="9"/>
  <c r="W167" i="9"/>
  <c r="W157" i="9"/>
  <c r="W187" i="9"/>
  <c r="W74" i="9"/>
  <c r="W174" i="9"/>
  <c r="W166" i="9"/>
  <c r="W216" i="9"/>
  <c r="W158" i="9"/>
  <c r="W188" i="9"/>
  <c r="W238" i="9"/>
  <c r="W192" i="9"/>
  <c r="W239" i="9"/>
  <c r="W72" i="9"/>
  <c r="W36" i="9"/>
  <c r="W76" i="9"/>
  <c r="W63" i="9"/>
  <c r="W199" i="9"/>
  <c r="W34" i="9"/>
  <c r="W113" i="9"/>
  <c r="W146" i="9"/>
  <c r="W147" i="9"/>
  <c r="W226" i="9"/>
  <c r="W225" i="9"/>
  <c r="W133" i="9"/>
  <c r="W218" i="9"/>
  <c r="W219" i="9"/>
  <c r="W201" i="9"/>
  <c r="W229" i="9"/>
  <c r="W215" i="9"/>
  <c r="W191" i="9"/>
  <c r="W107" i="9"/>
  <c r="W139" i="9"/>
  <c r="W227" i="9"/>
  <c r="W220" i="9"/>
  <c r="W171" i="9"/>
  <c r="W159" i="9"/>
  <c r="W154" i="9"/>
  <c r="W122" i="9"/>
  <c r="W124" i="9"/>
  <c r="W64" i="9"/>
  <c r="W68" i="9"/>
  <c r="W116" i="9"/>
  <c r="W67" i="9"/>
  <c r="W115" i="9"/>
  <c r="W103" i="9"/>
  <c r="W104" i="9"/>
  <c r="W108" i="9"/>
  <c r="W145" i="9"/>
  <c r="W228" i="9"/>
  <c r="W179" i="9"/>
  <c r="W217" i="9"/>
  <c r="W237" i="9"/>
  <c r="W170" i="9"/>
  <c r="W242" i="9"/>
  <c r="W244" i="9"/>
  <c r="W161" i="9"/>
  <c r="W209" i="9"/>
  <c r="W152" i="9"/>
  <c r="W195" i="9"/>
  <c r="W149" i="9"/>
  <c r="W186" i="9"/>
  <c r="W69" i="9"/>
  <c r="W70" i="9"/>
  <c r="W121" i="9"/>
  <c r="W114" i="9"/>
  <c r="W148" i="9"/>
  <c r="W181" i="9"/>
  <c r="W169" i="9"/>
  <c r="W241" i="9"/>
  <c r="W203" i="9"/>
  <c r="W212" i="9"/>
  <c r="W125" i="9"/>
  <c r="W236" i="9"/>
  <c r="W233" i="9"/>
  <c r="W60" i="9"/>
  <c r="W178" i="9"/>
  <c r="W243" i="9"/>
  <c r="W131" i="9"/>
  <c r="W210" i="9"/>
  <c r="W165" i="9"/>
  <c r="W151" i="9"/>
  <c r="W196" i="9"/>
  <c r="W185" i="9"/>
  <c r="W190" i="9"/>
  <c r="W118" i="9"/>
  <c r="W177" i="9"/>
  <c r="W234" i="9"/>
  <c r="W119" i="9"/>
  <c r="W61" i="9"/>
  <c r="W33" i="9"/>
  <c r="W110" i="9"/>
  <c r="W66" i="9"/>
  <c r="W112" i="9"/>
  <c r="W109" i="9"/>
  <c r="W111" i="9"/>
  <c r="W144" i="9"/>
  <c r="W143" i="9"/>
  <c r="W97" i="9"/>
  <c r="W31" i="9"/>
  <c r="W53" i="9"/>
  <c r="W85" i="9"/>
  <c r="W123" i="9"/>
  <c r="W205" i="9"/>
  <c r="W162" i="9"/>
  <c r="W163" i="9"/>
  <c r="W194" i="9"/>
  <c r="W155" i="9"/>
  <c r="W117" i="9"/>
  <c r="W59" i="9"/>
  <c r="W100" i="9"/>
  <c r="W99" i="9"/>
  <c r="W173" i="9"/>
  <c r="W189" i="9"/>
  <c r="W73" i="9"/>
  <c r="W71" i="9"/>
  <c r="W62" i="9"/>
  <c r="W65" i="9"/>
  <c r="W101" i="9"/>
  <c r="W106" i="9"/>
  <c r="W105" i="9"/>
  <c r="W55" i="9"/>
  <c r="W32" i="9"/>
  <c r="W58" i="9"/>
  <c r="W51" i="9"/>
  <c r="W52" i="9"/>
  <c r="AE140" i="9"/>
  <c r="AE184" i="9"/>
  <c r="AE183" i="9"/>
  <c r="AE176" i="9"/>
  <c r="AE248" i="9"/>
  <c r="AE230" i="9"/>
  <c r="AE134" i="9"/>
  <c r="AE224" i="9"/>
  <c r="AE221" i="9"/>
  <c r="AE223" i="9"/>
  <c r="AE182" i="9"/>
  <c r="AE231" i="9"/>
  <c r="AE204" i="9"/>
  <c r="AE160" i="9"/>
  <c r="AE206" i="9"/>
  <c r="AE246" i="9"/>
  <c r="AE208" i="9"/>
  <c r="AE245" i="9"/>
  <c r="AE175" i="9"/>
  <c r="AE164" i="9"/>
  <c r="AE132" i="9"/>
  <c r="AE168" i="9"/>
  <c r="AE153" i="9"/>
  <c r="AE126" i="9"/>
  <c r="AE229" i="9"/>
  <c r="AE174" i="9"/>
  <c r="AE214" i="9"/>
  <c r="AE213" i="9"/>
  <c r="AE172" i="9"/>
  <c r="AE247" i="9"/>
  <c r="AE198" i="9"/>
  <c r="AE232" i="9"/>
  <c r="AE166" i="9"/>
  <c r="AE216" i="9"/>
  <c r="AE197" i="9"/>
  <c r="AE150" i="9"/>
  <c r="AE240" i="9"/>
  <c r="AE75" i="9"/>
  <c r="AE222" i="9"/>
  <c r="AE215" i="9"/>
  <c r="AE154" i="9"/>
  <c r="AE157" i="9"/>
  <c r="AE187" i="9"/>
  <c r="AE74" i="9"/>
  <c r="AE207" i="9"/>
  <c r="AE158" i="9"/>
  <c r="AE200" i="9"/>
  <c r="AE188" i="9"/>
  <c r="AE238" i="9"/>
  <c r="AE192" i="9"/>
  <c r="AE239" i="9"/>
  <c r="AE72" i="9"/>
  <c r="AE36" i="9"/>
  <c r="AE76" i="9"/>
  <c r="AE63" i="9"/>
  <c r="AE122" i="9"/>
  <c r="AE124" i="9"/>
  <c r="AE34" i="9"/>
  <c r="AE113" i="9"/>
  <c r="AE146" i="9"/>
  <c r="AE147" i="9"/>
  <c r="AE226" i="9"/>
  <c r="AE225" i="9"/>
  <c r="AE133" i="9"/>
  <c r="AE218" i="9"/>
  <c r="AE219" i="9"/>
  <c r="AE201" i="9"/>
  <c r="AE237" i="9"/>
  <c r="AE107" i="9"/>
  <c r="AE139" i="9"/>
  <c r="AE227" i="9"/>
  <c r="AE220" i="9"/>
  <c r="AE171" i="9"/>
  <c r="AE167" i="9"/>
  <c r="AE199" i="9"/>
  <c r="AE64" i="9"/>
  <c r="AE68" i="9"/>
  <c r="AE116" i="9"/>
  <c r="AE67" i="9"/>
  <c r="AE115" i="9"/>
  <c r="AE103" i="9"/>
  <c r="AE104" i="9"/>
  <c r="AE108" i="9"/>
  <c r="AE145" i="9"/>
  <c r="AE228" i="9"/>
  <c r="AE179" i="9"/>
  <c r="AE217" i="9"/>
  <c r="AE123" i="9"/>
  <c r="AE60" i="9"/>
  <c r="AE178" i="9"/>
  <c r="AE159" i="9"/>
  <c r="AE242" i="9"/>
  <c r="AE244" i="9"/>
  <c r="AE161" i="9"/>
  <c r="AE209" i="9"/>
  <c r="AE152" i="9"/>
  <c r="AE195" i="9"/>
  <c r="AE149" i="9"/>
  <c r="AE186" i="9"/>
  <c r="AE69" i="9"/>
  <c r="AE70" i="9"/>
  <c r="AE177" i="9"/>
  <c r="AE173" i="9"/>
  <c r="AE241" i="9"/>
  <c r="AE203" i="9"/>
  <c r="AE212" i="9"/>
  <c r="AE125" i="9"/>
  <c r="AE236" i="9"/>
  <c r="AE233" i="9"/>
  <c r="AE121" i="9"/>
  <c r="AE170" i="9"/>
  <c r="AE243" i="9"/>
  <c r="AE131" i="9"/>
  <c r="AE210" i="9"/>
  <c r="AE165" i="9"/>
  <c r="AE151" i="9"/>
  <c r="AE196" i="9"/>
  <c r="AE185" i="9"/>
  <c r="AE190" i="9"/>
  <c r="AE118" i="9"/>
  <c r="AE148" i="9"/>
  <c r="AE202" i="9"/>
  <c r="AE189" i="9"/>
  <c r="AE73" i="9"/>
  <c r="AE119" i="9"/>
  <c r="AE61" i="9"/>
  <c r="AE33" i="9"/>
  <c r="AE110" i="9"/>
  <c r="AE66" i="9"/>
  <c r="AE112" i="9"/>
  <c r="AE109" i="9"/>
  <c r="AE111" i="9"/>
  <c r="AE144" i="9"/>
  <c r="AE143" i="9"/>
  <c r="AE97" i="9"/>
  <c r="AE31" i="9"/>
  <c r="AE53" i="9"/>
  <c r="AE85" i="9"/>
  <c r="AE211" i="9"/>
  <c r="AE156" i="9"/>
  <c r="AE193" i="9"/>
  <c r="AE117" i="9"/>
  <c r="AE59" i="9"/>
  <c r="AE100" i="9"/>
  <c r="AE99" i="9"/>
  <c r="AE169" i="9"/>
  <c r="AE205" i="9"/>
  <c r="AE234" i="9"/>
  <c r="AE71" i="9"/>
  <c r="AE62" i="9"/>
  <c r="AE65" i="9"/>
  <c r="AE101" i="9"/>
  <c r="AE106" i="9"/>
  <c r="AE105" i="9"/>
  <c r="AE55" i="9"/>
  <c r="AE32" i="9"/>
  <c r="AE58" i="9"/>
  <c r="AE51" i="9"/>
  <c r="AE52" i="9"/>
  <c r="W39" i="9"/>
  <c r="AA20" i="9"/>
  <c r="S20" i="9"/>
  <c r="AE12" i="9"/>
  <c r="W12" i="9"/>
  <c r="AA77" i="9"/>
  <c r="S77" i="9"/>
  <c r="AE45" i="9"/>
  <c r="W45" i="9"/>
  <c r="AA82" i="9"/>
  <c r="S82" i="9"/>
  <c r="AA49" i="9"/>
  <c r="W48" i="9"/>
  <c r="AE47" i="9"/>
  <c r="S47" i="9"/>
  <c r="AA137" i="9"/>
  <c r="W137" i="9"/>
  <c r="S137" i="9"/>
  <c r="AA138" i="9"/>
  <c r="W138" i="9"/>
  <c r="S138" i="9"/>
  <c r="AA86" i="9"/>
  <c r="S86" i="9"/>
  <c r="AE96" i="9"/>
  <c r="W96" i="9"/>
  <c r="AE94" i="9"/>
  <c r="AE57" i="9"/>
  <c r="AE102" i="9"/>
  <c r="AE120" i="9"/>
  <c r="W235" i="9"/>
  <c r="W202" i="9"/>
  <c r="T232" i="9"/>
  <c r="T229" i="9"/>
  <c r="T172" i="9"/>
  <c r="T174" i="9"/>
  <c r="T222" i="9"/>
  <c r="T175" i="9"/>
  <c r="T140" i="9"/>
  <c r="T184" i="9"/>
  <c r="T183" i="9"/>
  <c r="T176" i="9"/>
  <c r="T230" i="9"/>
  <c r="T134" i="9"/>
  <c r="T224" i="9"/>
  <c r="T221" i="9"/>
  <c r="T223" i="9"/>
  <c r="T231" i="9"/>
  <c r="T245" i="9"/>
  <c r="T207" i="9"/>
  <c r="T166" i="9"/>
  <c r="T216" i="9"/>
  <c r="T167" i="9"/>
  <c r="T215" i="9"/>
  <c r="T154" i="9"/>
  <c r="T160" i="9"/>
  <c r="T246" i="9"/>
  <c r="T248" i="9"/>
  <c r="T164" i="9"/>
  <c r="T132" i="9"/>
  <c r="T168" i="9"/>
  <c r="T153" i="9"/>
  <c r="T126" i="9"/>
  <c r="T214" i="9"/>
  <c r="T213" i="9"/>
  <c r="T158" i="9"/>
  <c r="T182" i="9"/>
  <c r="T206" i="9"/>
  <c r="T247" i="9"/>
  <c r="T200" i="9"/>
  <c r="T199" i="9"/>
  <c r="T237" i="9"/>
  <c r="T191" i="9"/>
  <c r="T122" i="9"/>
  <c r="T124" i="9"/>
  <c r="T123" i="9"/>
  <c r="T197" i="9"/>
  <c r="T150" i="9"/>
  <c r="T240" i="9"/>
  <c r="T204" i="9"/>
  <c r="T208" i="9"/>
  <c r="T157" i="9"/>
  <c r="T187" i="9"/>
  <c r="T74" i="9"/>
  <c r="T121" i="9"/>
  <c r="T198" i="9"/>
  <c r="T238" i="9"/>
  <c r="T114" i="9"/>
  <c r="T60" i="9"/>
  <c r="T148" i="9"/>
  <c r="T177" i="9"/>
  <c r="T178" i="9"/>
  <c r="T181" i="9"/>
  <c r="T169" i="9"/>
  <c r="T170" i="9"/>
  <c r="T173" i="9"/>
  <c r="T202" i="9"/>
  <c r="T242" i="9"/>
  <c r="T239" i="9"/>
  <c r="T36" i="9"/>
  <c r="T75" i="9"/>
  <c r="T63" i="9"/>
  <c r="T113" i="9"/>
  <c r="T146" i="9"/>
  <c r="T147" i="9"/>
  <c r="T226" i="9"/>
  <c r="T225" i="9"/>
  <c r="T133" i="9"/>
  <c r="T218" i="9"/>
  <c r="T219" i="9"/>
  <c r="T201" i="9"/>
  <c r="T188" i="9"/>
  <c r="T192" i="9"/>
  <c r="T76" i="9"/>
  <c r="T34" i="9"/>
  <c r="T107" i="9"/>
  <c r="T139" i="9"/>
  <c r="T227" i="9"/>
  <c r="T220" i="9"/>
  <c r="T171" i="9"/>
  <c r="T159" i="9"/>
  <c r="T205" i="9"/>
  <c r="T244" i="9"/>
  <c r="T72" i="9"/>
  <c r="T115" i="9"/>
  <c r="T179" i="9"/>
  <c r="T217" i="9"/>
  <c r="T162" i="9"/>
  <c r="T163" i="9"/>
  <c r="T211" i="9"/>
  <c r="T194" i="9"/>
  <c r="T156" i="9"/>
  <c r="T193" i="9"/>
  <c r="T155" i="9"/>
  <c r="T234" i="9"/>
  <c r="T189" i="9"/>
  <c r="T35" i="9"/>
  <c r="T73" i="9"/>
  <c r="T64" i="9"/>
  <c r="T68" i="9"/>
  <c r="T108" i="9"/>
  <c r="T145" i="9"/>
  <c r="T228" i="9"/>
  <c r="T161" i="9"/>
  <c r="T209" i="9"/>
  <c r="T152" i="9"/>
  <c r="T195" i="9"/>
  <c r="T149" i="9"/>
  <c r="T186" i="9"/>
  <c r="T67" i="9"/>
  <c r="T103" i="9"/>
  <c r="T104" i="9"/>
  <c r="T241" i="9"/>
  <c r="T203" i="9"/>
  <c r="T212" i="9"/>
  <c r="T125" i="9"/>
  <c r="T236" i="9"/>
  <c r="T233" i="9"/>
  <c r="T235" i="9"/>
  <c r="T116" i="9"/>
  <c r="T190" i="9"/>
  <c r="T120" i="9"/>
  <c r="T102" i="9"/>
  <c r="T142" i="9"/>
  <c r="T141" i="9"/>
  <c r="T56" i="9"/>
  <c r="T98" i="9"/>
  <c r="T57" i="9"/>
  <c r="T54" i="9"/>
  <c r="T96" i="9"/>
  <c r="T93" i="9"/>
  <c r="T95" i="9"/>
  <c r="T131" i="9"/>
  <c r="T210" i="9"/>
  <c r="T69" i="9"/>
  <c r="T119" i="9"/>
  <c r="T61" i="9"/>
  <c r="T33" i="9"/>
  <c r="T110" i="9"/>
  <c r="T66" i="9"/>
  <c r="T112" i="9"/>
  <c r="T109" i="9"/>
  <c r="T111" i="9"/>
  <c r="T144" i="9"/>
  <c r="T143" i="9"/>
  <c r="T97" i="9"/>
  <c r="T31" i="9"/>
  <c r="T243" i="9"/>
  <c r="T185" i="9"/>
  <c r="T118" i="9"/>
  <c r="T117" i="9"/>
  <c r="T59" i="9"/>
  <c r="T100" i="9"/>
  <c r="T99" i="9"/>
  <c r="T94" i="9"/>
  <c r="T46" i="9"/>
  <c r="X232" i="9"/>
  <c r="X229" i="9"/>
  <c r="X172" i="9"/>
  <c r="X174" i="9"/>
  <c r="X222" i="9"/>
  <c r="X175" i="9"/>
  <c r="X140" i="9"/>
  <c r="X184" i="9"/>
  <c r="X183" i="9"/>
  <c r="X176" i="9"/>
  <c r="X230" i="9"/>
  <c r="X134" i="9"/>
  <c r="X224" i="9"/>
  <c r="X221" i="9"/>
  <c r="X223" i="9"/>
  <c r="X182" i="9"/>
  <c r="X204" i="9"/>
  <c r="X206" i="9"/>
  <c r="X208" i="9"/>
  <c r="X207" i="9"/>
  <c r="X166" i="9"/>
  <c r="X216" i="9"/>
  <c r="X167" i="9"/>
  <c r="X215" i="9"/>
  <c r="X154" i="9"/>
  <c r="X231" i="9"/>
  <c r="X164" i="9"/>
  <c r="X132" i="9"/>
  <c r="X168" i="9"/>
  <c r="X153" i="9"/>
  <c r="X126" i="9"/>
  <c r="X160" i="9"/>
  <c r="X246" i="9"/>
  <c r="X245" i="9"/>
  <c r="X214" i="9"/>
  <c r="X213" i="9"/>
  <c r="X158" i="9"/>
  <c r="X248" i="9"/>
  <c r="X198" i="9"/>
  <c r="X199" i="9"/>
  <c r="X237" i="9"/>
  <c r="X191" i="9"/>
  <c r="X122" i="9"/>
  <c r="X124" i="9"/>
  <c r="X123" i="9"/>
  <c r="X247" i="9"/>
  <c r="X197" i="9"/>
  <c r="X150" i="9"/>
  <c r="X240" i="9"/>
  <c r="X200" i="9"/>
  <c r="X157" i="9"/>
  <c r="X187" i="9"/>
  <c r="X74" i="9"/>
  <c r="X121" i="9"/>
  <c r="X72" i="9"/>
  <c r="X114" i="9"/>
  <c r="X60" i="9"/>
  <c r="X148" i="9"/>
  <c r="X177" i="9"/>
  <c r="X178" i="9"/>
  <c r="X181" i="9"/>
  <c r="X169" i="9"/>
  <c r="X170" i="9"/>
  <c r="X173" i="9"/>
  <c r="X202" i="9"/>
  <c r="X242" i="9"/>
  <c r="X238" i="9"/>
  <c r="X34" i="9"/>
  <c r="X113" i="9"/>
  <c r="X146" i="9"/>
  <c r="X147" i="9"/>
  <c r="X226" i="9"/>
  <c r="X225" i="9"/>
  <c r="X133" i="9"/>
  <c r="X218" i="9"/>
  <c r="X219" i="9"/>
  <c r="X201" i="9"/>
  <c r="X239" i="9"/>
  <c r="X36" i="9"/>
  <c r="X107" i="9"/>
  <c r="X139" i="9"/>
  <c r="X227" i="9"/>
  <c r="X220" i="9"/>
  <c r="X171" i="9"/>
  <c r="X159" i="9"/>
  <c r="X205" i="9"/>
  <c r="X76" i="9"/>
  <c r="X75" i="9"/>
  <c r="X116" i="9"/>
  <c r="X162" i="9"/>
  <c r="X163" i="9"/>
  <c r="X211" i="9"/>
  <c r="X194" i="9"/>
  <c r="X156" i="9"/>
  <c r="X193" i="9"/>
  <c r="X155" i="9"/>
  <c r="X234" i="9"/>
  <c r="X189" i="9"/>
  <c r="X35" i="9"/>
  <c r="X73" i="9"/>
  <c r="X192" i="9"/>
  <c r="X115" i="9"/>
  <c r="X179" i="9"/>
  <c r="X217" i="9"/>
  <c r="X244" i="9"/>
  <c r="X161" i="9"/>
  <c r="X209" i="9"/>
  <c r="X152" i="9"/>
  <c r="X195" i="9"/>
  <c r="X149" i="9"/>
  <c r="X186" i="9"/>
  <c r="X63" i="9"/>
  <c r="X64" i="9"/>
  <c r="X68" i="9"/>
  <c r="X108" i="9"/>
  <c r="X145" i="9"/>
  <c r="X228" i="9"/>
  <c r="X241" i="9"/>
  <c r="X203" i="9"/>
  <c r="X212" i="9"/>
  <c r="X125" i="9"/>
  <c r="X236" i="9"/>
  <c r="X233" i="9"/>
  <c r="X235" i="9"/>
  <c r="X103" i="9"/>
  <c r="X165" i="9"/>
  <c r="X151" i="9"/>
  <c r="X196" i="9"/>
  <c r="X118" i="9"/>
  <c r="X120" i="9"/>
  <c r="X102" i="9"/>
  <c r="X142" i="9"/>
  <c r="X141" i="9"/>
  <c r="X56" i="9"/>
  <c r="X98" i="9"/>
  <c r="X57" i="9"/>
  <c r="X54" i="9"/>
  <c r="X96" i="9"/>
  <c r="X93" i="9"/>
  <c r="X95" i="9"/>
  <c r="X190" i="9"/>
  <c r="X70" i="9"/>
  <c r="X119" i="9"/>
  <c r="X61" i="9"/>
  <c r="X33" i="9"/>
  <c r="X110" i="9"/>
  <c r="X66" i="9"/>
  <c r="X112" i="9"/>
  <c r="X109" i="9"/>
  <c r="X111" i="9"/>
  <c r="X144" i="9"/>
  <c r="X143" i="9"/>
  <c r="X97" i="9"/>
  <c r="X31" i="9"/>
  <c r="X67" i="9"/>
  <c r="X104" i="9"/>
  <c r="X131" i="9"/>
  <c r="X210" i="9"/>
  <c r="X117" i="9"/>
  <c r="X59" i="9"/>
  <c r="X100" i="9"/>
  <c r="X99" i="9"/>
  <c r="X94" i="9"/>
  <c r="X46" i="9"/>
  <c r="AB232" i="9"/>
  <c r="AB229" i="9"/>
  <c r="AB172" i="9"/>
  <c r="AB174" i="9"/>
  <c r="AB222" i="9"/>
  <c r="AB175" i="9"/>
  <c r="AB140" i="9"/>
  <c r="AB184" i="9"/>
  <c r="AB183" i="9"/>
  <c r="AB176" i="9"/>
  <c r="AB230" i="9"/>
  <c r="AB134" i="9"/>
  <c r="AB224" i="9"/>
  <c r="AB221" i="9"/>
  <c r="AB223" i="9"/>
  <c r="AB245" i="9"/>
  <c r="AB207" i="9"/>
  <c r="AB166" i="9"/>
  <c r="AB216" i="9"/>
  <c r="AB167" i="9"/>
  <c r="AB215" i="9"/>
  <c r="AB154" i="9"/>
  <c r="AB182" i="9"/>
  <c r="AB204" i="9"/>
  <c r="AB206" i="9"/>
  <c r="AB248" i="9"/>
  <c r="AB164" i="9"/>
  <c r="AB132" i="9"/>
  <c r="AB168" i="9"/>
  <c r="AB153" i="9"/>
  <c r="AB126" i="9"/>
  <c r="AB231" i="9"/>
  <c r="AB208" i="9"/>
  <c r="AB214" i="9"/>
  <c r="AB213" i="9"/>
  <c r="AB158" i="9"/>
  <c r="AB200" i="9"/>
  <c r="AB199" i="9"/>
  <c r="AB237" i="9"/>
  <c r="AB191" i="9"/>
  <c r="AB122" i="9"/>
  <c r="AB124" i="9"/>
  <c r="AB123" i="9"/>
  <c r="AB160" i="9"/>
  <c r="AB198" i="9"/>
  <c r="AB197" i="9"/>
  <c r="AB150" i="9"/>
  <c r="AB240" i="9"/>
  <c r="AB247" i="9"/>
  <c r="AB157" i="9"/>
  <c r="AB187" i="9"/>
  <c r="AB74" i="9"/>
  <c r="AB121" i="9"/>
  <c r="AB246" i="9"/>
  <c r="AB188" i="9"/>
  <c r="AB192" i="9"/>
  <c r="AB76" i="9"/>
  <c r="AB114" i="9"/>
  <c r="AB60" i="9"/>
  <c r="AB148" i="9"/>
  <c r="AB177" i="9"/>
  <c r="AB178" i="9"/>
  <c r="AB181" i="9"/>
  <c r="AB169" i="9"/>
  <c r="AB170" i="9"/>
  <c r="AB173" i="9"/>
  <c r="AB202" i="9"/>
  <c r="AB242" i="9"/>
  <c r="AB72" i="9"/>
  <c r="AB75" i="9"/>
  <c r="AB63" i="9"/>
  <c r="AB34" i="9"/>
  <c r="AB113" i="9"/>
  <c r="AB146" i="9"/>
  <c r="AB147" i="9"/>
  <c r="AB226" i="9"/>
  <c r="AB225" i="9"/>
  <c r="AB133" i="9"/>
  <c r="AB218" i="9"/>
  <c r="AB219" i="9"/>
  <c r="AB201" i="9"/>
  <c r="AB238" i="9"/>
  <c r="AB107" i="9"/>
  <c r="AB139" i="9"/>
  <c r="AB227" i="9"/>
  <c r="AB220" i="9"/>
  <c r="AB171" i="9"/>
  <c r="AB159" i="9"/>
  <c r="AB205" i="9"/>
  <c r="AB67" i="9"/>
  <c r="AB103" i="9"/>
  <c r="AB104" i="9"/>
  <c r="AB162" i="9"/>
  <c r="AB163" i="9"/>
  <c r="AB211" i="9"/>
  <c r="AB194" i="9"/>
  <c r="AB156" i="9"/>
  <c r="AB193" i="9"/>
  <c r="AB155" i="9"/>
  <c r="AB234" i="9"/>
  <c r="AB189" i="9"/>
  <c r="AB35" i="9"/>
  <c r="AB239" i="9"/>
  <c r="AB116" i="9"/>
  <c r="AB244" i="9"/>
  <c r="AB161" i="9"/>
  <c r="AB209" i="9"/>
  <c r="AB152" i="9"/>
  <c r="AB195" i="9"/>
  <c r="AB149" i="9"/>
  <c r="AB186" i="9"/>
  <c r="AB115" i="9"/>
  <c r="AB179" i="9"/>
  <c r="AB217" i="9"/>
  <c r="AB241" i="9"/>
  <c r="AB203" i="9"/>
  <c r="AB212" i="9"/>
  <c r="AB125" i="9"/>
  <c r="AB236" i="9"/>
  <c r="AB233" i="9"/>
  <c r="AB235" i="9"/>
  <c r="AB108" i="9"/>
  <c r="AB243" i="9"/>
  <c r="AB185" i="9"/>
  <c r="AB120" i="9"/>
  <c r="AB102" i="9"/>
  <c r="AB142" i="9"/>
  <c r="AB141" i="9"/>
  <c r="AB56" i="9"/>
  <c r="AB98" i="9"/>
  <c r="AB57" i="9"/>
  <c r="AB54" i="9"/>
  <c r="AB96" i="9"/>
  <c r="AB93" i="9"/>
  <c r="AB95" i="9"/>
  <c r="AB36" i="9"/>
  <c r="AB68" i="9"/>
  <c r="AB228" i="9"/>
  <c r="AB165" i="9"/>
  <c r="AB151" i="9"/>
  <c r="AB196" i="9"/>
  <c r="AB69" i="9"/>
  <c r="AB73" i="9"/>
  <c r="AB119" i="9"/>
  <c r="AB61" i="9"/>
  <c r="AB33" i="9"/>
  <c r="AB110" i="9"/>
  <c r="AB66" i="9"/>
  <c r="AB112" i="9"/>
  <c r="AB109" i="9"/>
  <c r="AB111" i="9"/>
  <c r="AB144" i="9"/>
  <c r="AB143" i="9"/>
  <c r="AB97" i="9"/>
  <c r="AB31" i="9"/>
  <c r="AB145" i="9"/>
  <c r="AB190" i="9"/>
  <c r="AB118" i="9"/>
  <c r="AB117" i="9"/>
  <c r="AB59" i="9"/>
  <c r="AB100" i="9"/>
  <c r="AB99" i="9"/>
  <c r="AB94" i="9"/>
  <c r="AB46" i="9"/>
  <c r="AF232" i="9"/>
  <c r="AF229" i="9"/>
  <c r="AF172" i="9"/>
  <c r="AF174" i="9"/>
  <c r="AF222" i="9"/>
  <c r="AF175" i="9"/>
  <c r="AF140" i="9"/>
  <c r="AF184" i="9"/>
  <c r="AF183" i="9"/>
  <c r="AF176" i="9"/>
  <c r="AF230" i="9"/>
  <c r="AF134" i="9"/>
  <c r="AF224" i="9"/>
  <c r="AF221" i="9"/>
  <c r="AF223" i="9"/>
  <c r="AF160" i="9"/>
  <c r="AF246" i="9"/>
  <c r="AF208" i="9"/>
  <c r="AF207" i="9"/>
  <c r="AF166" i="9"/>
  <c r="AF216" i="9"/>
  <c r="AF167" i="9"/>
  <c r="AF215" i="9"/>
  <c r="AF154" i="9"/>
  <c r="AF164" i="9"/>
  <c r="AF132" i="9"/>
  <c r="AF168" i="9"/>
  <c r="AF153" i="9"/>
  <c r="AF126" i="9"/>
  <c r="AF182" i="9"/>
  <c r="AF204" i="9"/>
  <c r="AF206" i="9"/>
  <c r="AF245" i="9"/>
  <c r="AF214" i="9"/>
  <c r="AF213" i="9"/>
  <c r="AF158" i="9"/>
  <c r="AF231" i="9"/>
  <c r="AF199" i="9"/>
  <c r="AF237" i="9"/>
  <c r="AF191" i="9"/>
  <c r="AF122" i="9"/>
  <c r="AF124" i="9"/>
  <c r="AF123" i="9"/>
  <c r="AF248" i="9"/>
  <c r="AF197" i="9"/>
  <c r="AF150" i="9"/>
  <c r="AF240" i="9"/>
  <c r="AF198" i="9"/>
  <c r="AF157" i="9"/>
  <c r="AF187" i="9"/>
  <c r="AF74" i="9"/>
  <c r="AF121" i="9"/>
  <c r="AF239" i="9"/>
  <c r="AF36" i="9"/>
  <c r="AF114" i="9"/>
  <c r="AF60" i="9"/>
  <c r="AF148" i="9"/>
  <c r="AF177" i="9"/>
  <c r="AF178" i="9"/>
  <c r="AF181" i="9"/>
  <c r="AF169" i="9"/>
  <c r="AF170" i="9"/>
  <c r="AF173" i="9"/>
  <c r="AF202" i="9"/>
  <c r="AF242" i="9"/>
  <c r="AF200" i="9"/>
  <c r="AF188" i="9"/>
  <c r="AF192" i="9"/>
  <c r="AF76" i="9"/>
  <c r="AF34" i="9"/>
  <c r="AF113" i="9"/>
  <c r="AF146" i="9"/>
  <c r="AF147" i="9"/>
  <c r="AF226" i="9"/>
  <c r="AF225" i="9"/>
  <c r="AF133" i="9"/>
  <c r="AF218" i="9"/>
  <c r="AF219" i="9"/>
  <c r="AF201" i="9"/>
  <c r="AF247" i="9"/>
  <c r="AF72" i="9"/>
  <c r="AF107" i="9"/>
  <c r="AF139" i="9"/>
  <c r="AF227" i="9"/>
  <c r="AF220" i="9"/>
  <c r="AF171" i="9"/>
  <c r="AF159" i="9"/>
  <c r="AF205" i="9"/>
  <c r="AF64" i="9"/>
  <c r="AF68" i="9"/>
  <c r="AF108" i="9"/>
  <c r="AF145" i="9"/>
  <c r="AF228" i="9"/>
  <c r="AF162" i="9"/>
  <c r="AF163" i="9"/>
  <c r="AF211" i="9"/>
  <c r="AF194" i="9"/>
  <c r="AF156" i="9"/>
  <c r="AF193" i="9"/>
  <c r="AF155" i="9"/>
  <c r="AF234" i="9"/>
  <c r="AF189" i="9"/>
  <c r="AF35" i="9"/>
  <c r="AF75" i="9"/>
  <c r="AF67" i="9"/>
  <c r="AF103" i="9"/>
  <c r="AF104" i="9"/>
  <c r="AF244" i="9"/>
  <c r="AF161" i="9"/>
  <c r="AF209" i="9"/>
  <c r="AF152" i="9"/>
  <c r="AF195" i="9"/>
  <c r="AF149" i="9"/>
  <c r="AF186" i="9"/>
  <c r="AF238" i="9"/>
  <c r="AF116" i="9"/>
  <c r="AF241" i="9"/>
  <c r="AF203" i="9"/>
  <c r="AF212" i="9"/>
  <c r="AF125" i="9"/>
  <c r="AF236" i="9"/>
  <c r="AF233" i="9"/>
  <c r="AF235" i="9"/>
  <c r="AF131" i="9"/>
  <c r="AF210" i="9"/>
  <c r="AF118" i="9"/>
  <c r="AF120" i="9"/>
  <c r="AF102" i="9"/>
  <c r="AF142" i="9"/>
  <c r="AF141" i="9"/>
  <c r="AF56" i="9"/>
  <c r="AF98" i="9"/>
  <c r="AF57" i="9"/>
  <c r="AF54" i="9"/>
  <c r="AF96" i="9"/>
  <c r="AF93" i="9"/>
  <c r="AF95" i="9"/>
  <c r="AF115" i="9"/>
  <c r="AF243" i="9"/>
  <c r="AF185" i="9"/>
  <c r="AF70" i="9"/>
  <c r="AF73" i="9"/>
  <c r="AF119" i="9"/>
  <c r="AF61" i="9"/>
  <c r="AF33" i="9"/>
  <c r="AF110" i="9"/>
  <c r="AF66" i="9"/>
  <c r="AF112" i="9"/>
  <c r="AF109" i="9"/>
  <c r="AF111" i="9"/>
  <c r="AF144" i="9"/>
  <c r="AF143" i="9"/>
  <c r="AF97" i="9"/>
  <c r="AF31" i="9"/>
  <c r="AF165" i="9"/>
  <c r="AF151" i="9"/>
  <c r="AF196" i="9"/>
  <c r="AF117" i="9"/>
  <c r="AF59" i="9"/>
  <c r="AF100" i="9"/>
  <c r="AF99" i="9"/>
  <c r="AF94" i="9"/>
  <c r="S180" i="9"/>
  <c r="W180" i="9"/>
  <c r="AA180" i="9"/>
  <c r="AE180" i="9"/>
  <c r="AD39" i="9"/>
  <c r="Z39" i="9"/>
  <c r="V39" i="9"/>
  <c r="AE19" i="9"/>
  <c r="AA19" i="9"/>
  <c r="W19" i="9"/>
  <c r="S19" i="9"/>
  <c r="AC37" i="9"/>
  <c r="Y37" i="9"/>
  <c r="U37" i="9"/>
  <c r="AF40" i="9"/>
  <c r="AB40" i="9"/>
  <c r="X40" i="9"/>
  <c r="T40" i="9"/>
  <c r="AD20" i="9"/>
  <c r="Z20" i="9"/>
  <c r="V20" i="9"/>
  <c r="AE38" i="9"/>
  <c r="AA38" i="9"/>
  <c r="W38" i="9"/>
  <c r="S38" i="9"/>
  <c r="AD18" i="9"/>
  <c r="Z18" i="9"/>
  <c r="V18" i="9"/>
  <c r="AE8" i="9"/>
  <c r="AA8" i="9"/>
  <c r="W8" i="9"/>
  <c r="S8" i="9"/>
  <c r="AE17" i="9"/>
  <c r="AA17" i="9"/>
  <c r="W17" i="9"/>
  <c r="S17" i="9"/>
  <c r="AC23" i="9"/>
  <c r="Y23" i="9"/>
  <c r="U23" i="9"/>
  <c r="AC11" i="9"/>
  <c r="Y11" i="9"/>
  <c r="U11" i="9"/>
  <c r="AE21" i="9"/>
  <c r="AA21" i="9"/>
  <c r="W21" i="9"/>
  <c r="S21" i="9"/>
  <c r="AE24" i="9"/>
  <c r="AA24" i="9"/>
  <c r="W24" i="9"/>
  <c r="S24" i="9"/>
  <c r="AD12" i="9"/>
  <c r="Z12" i="9"/>
  <c r="V12" i="9"/>
  <c r="AF22" i="9"/>
  <c r="AB22" i="9"/>
  <c r="X22" i="9"/>
  <c r="T22" i="9"/>
  <c r="AF10" i="9"/>
  <c r="AB10" i="9"/>
  <c r="X10" i="9"/>
  <c r="T10" i="9"/>
  <c r="AF6" i="9"/>
  <c r="AB6" i="9"/>
  <c r="X6" i="9"/>
  <c r="T6" i="9"/>
  <c r="AC9" i="9"/>
  <c r="Y9" i="9"/>
  <c r="U9" i="9"/>
  <c r="AF27" i="9"/>
  <c r="AB27" i="9"/>
  <c r="X27" i="9"/>
  <c r="T27" i="9"/>
  <c r="AC15" i="9"/>
  <c r="Y15" i="9"/>
  <c r="U15" i="9"/>
  <c r="AF25" i="9"/>
  <c r="AB25" i="9"/>
  <c r="X25" i="9"/>
  <c r="T25" i="9"/>
  <c r="AF28" i="9"/>
  <c r="AB28" i="9"/>
  <c r="X28" i="9"/>
  <c r="T28" i="9"/>
  <c r="AF16" i="9"/>
  <c r="AB16" i="9"/>
  <c r="X16" i="9"/>
  <c r="T16" i="9"/>
  <c r="AF26" i="9"/>
  <c r="AB26" i="9"/>
  <c r="X26" i="9"/>
  <c r="T26" i="9"/>
  <c r="AE14" i="9"/>
  <c r="AA14" i="9"/>
  <c r="W14" i="9"/>
  <c r="S14" i="9"/>
  <c r="AE7" i="9"/>
  <c r="AA7" i="9"/>
  <c r="W7" i="9"/>
  <c r="S7" i="9"/>
  <c r="AE13" i="9"/>
  <c r="AA13" i="9"/>
  <c r="W13" i="9"/>
  <c r="S13" i="9"/>
  <c r="AC129" i="9"/>
  <c r="Y129" i="9"/>
  <c r="U129" i="9"/>
  <c r="AF79" i="9"/>
  <c r="AB79" i="9"/>
  <c r="X79" i="9"/>
  <c r="T79" i="9"/>
  <c r="AC127" i="9"/>
  <c r="Y127" i="9"/>
  <c r="U127" i="9"/>
  <c r="AC130" i="9"/>
  <c r="Y130" i="9"/>
  <c r="U130" i="9"/>
  <c r="AC80" i="9"/>
  <c r="Y80" i="9"/>
  <c r="U80" i="9"/>
  <c r="AC128" i="9"/>
  <c r="Y128" i="9"/>
  <c r="U128" i="9"/>
  <c r="AC78" i="9"/>
  <c r="Y78" i="9"/>
  <c r="U78" i="9"/>
  <c r="AE41" i="9"/>
  <c r="AA41" i="9"/>
  <c r="W41" i="9"/>
  <c r="S41" i="9"/>
  <c r="AD77" i="9"/>
  <c r="Z77" i="9"/>
  <c r="V77" i="9"/>
  <c r="AC83" i="9"/>
  <c r="Y83" i="9"/>
  <c r="U83" i="9"/>
  <c r="AE44" i="9"/>
  <c r="AA44" i="9"/>
  <c r="W44" i="9"/>
  <c r="S44" i="9"/>
  <c r="AF81" i="9"/>
  <c r="AB81" i="9"/>
  <c r="X81" i="9"/>
  <c r="T81" i="9"/>
  <c r="AE84" i="9"/>
  <c r="AA84" i="9"/>
  <c r="W84" i="9"/>
  <c r="S84" i="9"/>
  <c r="AD45" i="9"/>
  <c r="Z45" i="9"/>
  <c r="V45" i="9"/>
  <c r="AD82" i="9"/>
  <c r="Z82" i="9"/>
  <c r="V82" i="9"/>
  <c r="AE43" i="9"/>
  <c r="AA43" i="9"/>
  <c r="W43" i="9"/>
  <c r="S43" i="9"/>
  <c r="AF29" i="9"/>
  <c r="AB29" i="9"/>
  <c r="X29" i="9"/>
  <c r="T29" i="9"/>
  <c r="AE42" i="9"/>
  <c r="AA42" i="9"/>
  <c r="W42" i="9"/>
  <c r="S42" i="9"/>
  <c r="AC91" i="9"/>
  <c r="Y91" i="9"/>
  <c r="U91" i="9"/>
  <c r="AD49" i="9"/>
  <c r="Z49" i="9"/>
  <c r="V49" i="9"/>
  <c r="AE89" i="9"/>
  <c r="AA89" i="9"/>
  <c r="W89" i="9"/>
  <c r="S89" i="9"/>
  <c r="AE92" i="9"/>
  <c r="AA92" i="9"/>
  <c r="W92" i="9"/>
  <c r="S92" i="9"/>
  <c r="AF50" i="9"/>
  <c r="AB50" i="9"/>
  <c r="X50" i="9"/>
  <c r="T50" i="9"/>
  <c r="AC90" i="9"/>
  <c r="Y90" i="9"/>
  <c r="U90" i="9"/>
  <c r="AD48" i="9"/>
  <c r="Z48" i="9"/>
  <c r="V48" i="9"/>
  <c r="AF30" i="9"/>
  <c r="AB30" i="9"/>
  <c r="X30" i="9"/>
  <c r="T30" i="9"/>
  <c r="AD47" i="9"/>
  <c r="Z47" i="9"/>
  <c r="V47" i="9"/>
  <c r="AD137" i="9"/>
  <c r="Z137" i="9"/>
  <c r="V137" i="9"/>
  <c r="AF87" i="9"/>
  <c r="AB87" i="9"/>
  <c r="X87" i="9"/>
  <c r="T87" i="9"/>
  <c r="AF135" i="9"/>
  <c r="AB135" i="9"/>
  <c r="X135" i="9"/>
  <c r="T135" i="9"/>
  <c r="AD138" i="9"/>
  <c r="Z138" i="9"/>
  <c r="V138" i="9"/>
  <c r="AC88" i="9"/>
  <c r="Y88" i="9"/>
  <c r="U88" i="9"/>
  <c r="AE136" i="9"/>
  <c r="AA136" i="9"/>
  <c r="W136" i="9"/>
  <c r="S136" i="9"/>
  <c r="AD86" i="9"/>
  <c r="Z86" i="9"/>
  <c r="V86" i="9"/>
  <c r="AE46" i="9"/>
  <c r="W46" i="9"/>
  <c r="AB85" i="9"/>
  <c r="T85" i="9"/>
  <c r="AE95" i="9"/>
  <c r="W95" i="9"/>
  <c r="AF53" i="9"/>
  <c r="X53" i="9"/>
  <c r="AA93" i="9"/>
  <c r="S93" i="9"/>
  <c r="AC96" i="9"/>
  <c r="U96" i="9"/>
  <c r="AE54" i="9"/>
  <c r="W54" i="9"/>
  <c r="AC94" i="9"/>
  <c r="U94" i="9"/>
  <c r="X52" i="9"/>
  <c r="V31" i="9"/>
  <c r="T51" i="9"/>
  <c r="AC99" i="9"/>
  <c r="AA57" i="9"/>
  <c r="AD97" i="9"/>
  <c r="AC100" i="9"/>
  <c r="AF58" i="9"/>
  <c r="S98" i="9"/>
  <c r="AA56" i="9"/>
  <c r="X32" i="9"/>
  <c r="AF55" i="9"/>
  <c r="AD143" i="9"/>
  <c r="AB105" i="9"/>
  <c r="AE141" i="9"/>
  <c r="AF106" i="9"/>
  <c r="S142" i="9"/>
  <c r="AA102" i="9"/>
  <c r="Y59" i="9"/>
  <c r="AB101" i="9"/>
  <c r="Z111" i="9"/>
  <c r="X65" i="9"/>
  <c r="V109" i="9"/>
  <c r="Z112" i="9"/>
  <c r="AD66" i="9"/>
  <c r="AF62" i="9"/>
  <c r="AD33" i="9"/>
  <c r="V119" i="9"/>
  <c r="T71" i="9"/>
  <c r="AC117" i="9"/>
  <c r="AA120" i="9"/>
  <c r="AD73" i="9"/>
  <c r="T70" i="9"/>
  <c r="AE35" i="9"/>
  <c r="X69" i="9"/>
  <c r="AC236" i="9"/>
  <c r="S234" i="9"/>
  <c r="W156" i="9"/>
  <c r="AE163" i="9"/>
  <c r="T165" i="9"/>
  <c r="U242" i="9"/>
  <c r="AF217" i="9"/>
  <c r="Y220" i="9"/>
  <c r="AE181" i="9"/>
  <c r="Z146" i="9"/>
  <c r="AE114" i="9"/>
  <c r="AB64" i="9"/>
  <c r="AA140" i="9"/>
  <c r="AA184" i="9"/>
  <c r="AA183" i="9"/>
  <c r="AA176" i="9"/>
  <c r="AA248" i="9"/>
  <c r="AA230" i="9"/>
  <c r="AA134" i="9"/>
  <c r="AA224" i="9"/>
  <c r="AA221" i="9"/>
  <c r="AA223" i="9"/>
  <c r="AA182" i="9"/>
  <c r="AA231" i="9"/>
  <c r="AA204" i="9"/>
  <c r="AA160" i="9"/>
  <c r="AA206" i="9"/>
  <c r="AA246" i="9"/>
  <c r="AA208" i="9"/>
  <c r="AA245" i="9"/>
  <c r="AA229" i="9"/>
  <c r="AA174" i="9"/>
  <c r="AA164" i="9"/>
  <c r="AA132" i="9"/>
  <c r="AA168" i="9"/>
  <c r="AA153" i="9"/>
  <c r="AA126" i="9"/>
  <c r="AA200" i="9"/>
  <c r="AA172" i="9"/>
  <c r="AA214" i="9"/>
  <c r="AA213" i="9"/>
  <c r="AA232" i="9"/>
  <c r="AA222" i="9"/>
  <c r="AA247" i="9"/>
  <c r="AA198" i="9"/>
  <c r="AA215" i="9"/>
  <c r="AA154" i="9"/>
  <c r="AA158" i="9"/>
  <c r="AA197" i="9"/>
  <c r="AA150" i="9"/>
  <c r="AA240" i="9"/>
  <c r="AA75" i="9"/>
  <c r="AA175" i="9"/>
  <c r="AA207" i="9"/>
  <c r="AA157" i="9"/>
  <c r="AA187" i="9"/>
  <c r="AA74" i="9"/>
  <c r="AA167" i="9"/>
  <c r="AA188" i="9"/>
  <c r="AA238" i="9"/>
  <c r="AA192" i="9"/>
  <c r="AA239" i="9"/>
  <c r="AA72" i="9"/>
  <c r="AA36" i="9"/>
  <c r="AA76" i="9"/>
  <c r="AA63" i="9"/>
  <c r="AA216" i="9"/>
  <c r="AA237" i="9"/>
  <c r="AA34" i="9"/>
  <c r="AA113" i="9"/>
  <c r="AA146" i="9"/>
  <c r="AA147" i="9"/>
  <c r="AA226" i="9"/>
  <c r="AA225" i="9"/>
  <c r="AA133" i="9"/>
  <c r="AA218" i="9"/>
  <c r="AA219" i="9"/>
  <c r="AA201" i="9"/>
  <c r="AA199" i="9"/>
  <c r="AA121" i="9"/>
  <c r="AA123" i="9"/>
  <c r="AA107" i="9"/>
  <c r="AA139" i="9"/>
  <c r="AA227" i="9"/>
  <c r="AA220" i="9"/>
  <c r="AA171" i="9"/>
  <c r="AA191" i="9"/>
  <c r="AA64" i="9"/>
  <c r="AA68" i="9"/>
  <c r="AA116" i="9"/>
  <c r="AA67" i="9"/>
  <c r="AA115" i="9"/>
  <c r="AA103" i="9"/>
  <c r="AA104" i="9"/>
  <c r="AA108" i="9"/>
  <c r="AA145" i="9"/>
  <c r="AA228" i="9"/>
  <c r="AA179" i="9"/>
  <c r="AA217" i="9"/>
  <c r="AA124" i="9"/>
  <c r="AA177" i="9"/>
  <c r="AA173" i="9"/>
  <c r="AA244" i="9"/>
  <c r="AA161" i="9"/>
  <c r="AA209" i="9"/>
  <c r="AA152" i="9"/>
  <c r="AA195" i="9"/>
  <c r="AA149" i="9"/>
  <c r="AA186" i="9"/>
  <c r="AA69" i="9"/>
  <c r="AA70" i="9"/>
  <c r="AA166" i="9"/>
  <c r="AA170" i="9"/>
  <c r="AA202" i="9"/>
  <c r="AA205" i="9"/>
  <c r="AA241" i="9"/>
  <c r="AA203" i="9"/>
  <c r="AA212" i="9"/>
  <c r="AA125" i="9"/>
  <c r="AA236" i="9"/>
  <c r="AA233" i="9"/>
  <c r="AA122" i="9"/>
  <c r="AA114" i="9"/>
  <c r="AA148" i="9"/>
  <c r="AA181" i="9"/>
  <c r="AA169" i="9"/>
  <c r="AA159" i="9"/>
  <c r="AA242" i="9"/>
  <c r="AA243" i="9"/>
  <c r="AA131" i="9"/>
  <c r="AA210" i="9"/>
  <c r="AA165" i="9"/>
  <c r="AA151" i="9"/>
  <c r="AA196" i="9"/>
  <c r="AA185" i="9"/>
  <c r="AA190" i="9"/>
  <c r="AA118" i="9"/>
  <c r="AA60" i="9"/>
  <c r="AA211" i="9"/>
  <c r="AA156" i="9"/>
  <c r="AA193" i="9"/>
  <c r="AA73" i="9"/>
  <c r="AA119" i="9"/>
  <c r="AA61" i="9"/>
  <c r="AA33" i="9"/>
  <c r="AA110" i="9"/>
  <c r="AA66" i="9"/>
  <c r="AA112" i="9"/>
  <c r="AA109" i="9"/>
  <c r="AA111" i="9"/>
  <c r="AA144" i="9"/>
  <c r="AA143" i="9"/>
  <c r="AA97" i="9"/>
  <c r="AA31" i="9"/>
  <c r="AA53" i="9"/>
  <c r="AA85" i="9"/>
  <c r="AA234" i="9"/>
  <c r="AA235" i="9"/>
  <c r="AA35" i="9"/>
  <c r="AA117" i="9"/>
  <c r="AA59" i="9"/>
  <c r="AA100" i="9"/>
  <c r="AA99" i="9"/>
  <c r="AA178" i="9"/>
  <c r="AA162" i="9"/>
  <c r="AA163" i="9"/>
  <c r="AA194" i="9"/>
  <c r="AA155" i="9"/>
  <c r="AA71" i="9"/>
  <c r="AA62" i="9"/>
  <c r="AA65" i="9"/>
  <c r="AA101" i="9"/>
  <c r="AA106" i="9"/>
  <c r="AA105" i="9"/>
  <c r="AA55" i="9"/>
  <c r="AA32" i="9"/>
  <c r="AA58" i="9"/>
  <c r="AA51" i="9"/>
  <c r="AA52" i="9"/>
  <c r="AE39" i="9"/>
  <c r="S39" i="9"/>
  <c r="AE20" i="9"/>
  <c r="W20" i="9"/>
  <c r="AE18" i="9"/>
  <c r="W18" i="9"/>
  <c r="W77" i="9"/>
  <c r="AA45" i="9"/>
  <c r="AE82" i="9"/>
  <c r="W82" i="9"/>
  <c r="AE49" i="9"/>
  <c r="W49" i="9"/>
  <c r="S49" i="9"/>
  <c r="AA48" i="9"/>
  <c r="W47" i="9"/>
  <c r="AE138" i="9"/>
  <c r="W98" i="9"/>
  <c r="AE56" i="9"/>
  <c r="Z19" i="9"/>
  <c r="V19" i="9"/>
  <c r="AF37" i="9"/>
  <c r="AB37" i="9"/>
  <c r="X37" i="9"/>
  <c r="T37" i="9"/>
  <c r="AE40" i="9"/>
  <c r="AA40" i="9"/>
  <c r="W40" i="9"/>
  <c r="S40" i="9"/>
  <c r="AC20" i="9"/>
  <c r="Y20" i="9"/>
  <c r="U20" i="9"/>
  <c r="AD38" i="9"/>
  <c r="Z38" i="9"/>
  <c r="V38" i="9"/>
  <c r="AC18" i="9"/>
  <c r="Y18" i="9"/>
  <c r="U18" i="9"/>
  <c r="AD8" i="9"/>
  <c r="Z8" i="9"/>
  <c r="V8" i="9"/>
  <c r="AD17" i="9"/>
  <c r="Z17" i="9"/>
  <c r="V17" i="9"/>
  <c r="AF23" i="9"/>
  <c r="AB23" i="9"/>
  <c r="X23" i="9"/>
  <c r="T23" i="9"/>
  <c r="AF11" i="9"/>
  <c r="AB11" i="9"/>
  <c r="X11" i="9"/>
  <c r="T11" i="9"/>
  <c r="AD21" i="9"/>
  <c r="Z21" i="9"/>
  <c r="V21" i="9"/>
  <c r="AD24" i="9"/>
  <c r="Z24" i="9"/>
  <c r="V24" i="9"/>
  <c r="AC12" i="9"/>
  <c r="Y12" i="9"/>
  <c r="U12" i="9"/>
  <c r="AE22" i="9"/>
  <c r="AA22" i="9"/>
  <c r="W22" i="9"/>
  <c r="S22" i="9"/>
  <c r="AE10" i="9"/>
  <c r="AA10" i="9"/>
  <c r="W10" i="9"/>
  <c r="S10" i="9"/>
  <c r="AE6" i="9"/>
  <c r="AA6" i="9"/>
  <c r="W6" i="9"/>
  <c r="S6" i="9"/>
  <c r="AF9" i="9"/>
  <c r="AB9" i="9"/>
  <c r="X9" i="9"/>
  <c r="T9" i="9"/>
  <c r="AE27" i="9"/>
  <c r="AA27" i="9"/>
  <c r="W27" i="9"/>
  <c r="S27" i="9"/>
  <c r="AF15" i="9"/>
  <c r="AB15" i="9"/>
  <c r="X15" i="9"/>
  <c r="T15" i="9"/>
  <c r="AE25" i="9"/>
  <c r="AA25" i="9"/>
  <c r="W25" i="9"/>
  <c r="S25" i="9"/>
  <c r="AE28" i="9"/>
  <c r="AA28" i="9"/>
  <c r="W28" i="9"/>
  <c r="S28" i="9"/>
  <c r="AE16" i="9"/>
  <c r="AA16" i="9"/>
  <c r="W16" i="9"/>
  <c r="S16" i="9"/>
  <c r="AE26" i="9"/>
  <c r="AA26" i="9"/>
  <c r="W26" i="9"/>
  <c r="S26" i="9"/>
  <c r="AD14" i="9"/>
  <c r="Z14" i="9"/>
  <c r="V14" i="9"/>
  <c r="AD7" i="9"/>
  <c r="Z7" i="9"/>
  <c r="V7" i="9"/>
  <c r="AD13" i="9"/>
  <c r="Z13" i="9"/>
  <c r="V13" i="9"/>
  <c r="AF129" i="9"/>
  <c r="AB129" i="9"/>
  <c r="X129" i="9"/>
  <c r="T129" i="9"/>
  <c r="AE79" i="9"/>
  <c r="AA79" i="9"/>
  <c r="W79" i="9"/>
  <c r="S79" i="9"/>
  <c r="AF127" i="9"/>
  <c r="AB127" i="9"/>
  <c r="X127" i="9"/>
  <c r="T127" i="9"/>
  <c r="AF130" i="9"/>
  <c r="AB130" i="9"/>
  <c r="X130" i="9"/>
  <c r="T130" i="9"/>
  <c r="AF80" i="9"/>
  <c r="AB80" i="9"/>
  <c r="X80" i="9"/>
  <c r="T80" i="9"/>
  <c r="AF128" i="9"/>
  <c r="AB128" i="9"/>
  <c r="X128" i="9"/>
  <c r="T128" i="9"/>
  <c r="AF78" i="9"/>
  <c r="AB78" i="9"/>
  <c r="X78" i="9"/>
  <c r="T78" i="9"/>
  <c r="AD41" i="9"/>
  <c r="Z41" i="9"/>
  <c r="V41" i="9"/>
  <c r="AC77" i="9"/>
  <c r="Y77" i="9"/>
  <c r="U77" i="9"/>
  <c r="AF83" i="9"/>
  <c r="AB83" i="9"/>
  <c r="X83" i="9"/>
  <c r="T83" i="9"/>
  <c r="AD44" i="9"/>
  <c r="Z44" i="9"/>
  <c r="V44" i="9"/>
  <c r="AE81" i="9"/>
  <c r="AA81" i="9"/>
  <c r="W81" i="9"/>
  <c r="S81" i="9"/>
  <c r="AD84" i="9"/>
  <c r="Z84" i="9"/>
  <c r="V84" i="9"/>
  <c r="AC45" i="9"/>
  <c r="Y45" i="9"/>
  <c r="U45" i="9"/>
  <c r="AC82" i="9"/>
  <c r="Y82" i="9"/>
  <c r="U82" i="9"/>
  <c r="AD43" i="9"/>
  <c r="Z43" i="9"/>
  <c r="V43" i="9"/>
  <c r="AE29" i="9"/>
  <c r="AA29" i="9"/>
  <c r="W29" i="9"/>
  <c r="S29" i="9"/>
  <c r="AD42" i="9"/>
  <c r="Z42" i="9"/>
  <c r="V42" i="9"/>
  <c r="AF91" i="9"/>
  <c r="AB91" i="9"/>
  <c r="X91" i="9"/>
  <c r="T91" i="9"/>
  <c r="AC49" i="9"/>
  <c r="Y49" i="9"/>
  <c r="U49" i="9"/>
  <c r="AD89" i="9"/>
  <c r="Z89" i="9"/>
  <c r="V89" i="9"/>
  <c r="AD92" i="9"/>
  <c r="Z92" i="9"/>
  <c r="V92" i="9"/>
  <c r="AE50" i="9"/>
  <c r="AA50" i="9"/>
  <c r="W50" i="9"/>
  <c r="S50" i="9"/>
  <c r="AF90" i="9"/>
  <c r="AB90" i="9"/>
  <c r="X90" i="9"/>
  <c r="T90" i="9"/>
  <c r="AC48" i="9"/>
  <c r="Y48" i="9"/>
  <c r="U48" i="9"/>
  <c r="AE30" i="9"/>
  <c r="AA30" i="9"/>
  <c r="W30" i="9"/>
  <c r="S30" i="9"/>
  <c r="AC47" i="9"/>
  <c r="Y47" i="9"/>
  <c r="U47" i="9"/>
  <c r="AC137" i="9"/>
  <c r="Y137" i="9"/>
  <c r="U137" i="9"/>
  <c r="AE87" i="9"/>
  <c r="AA87" i="9"/>
  <c r="W87" i="9"/>
  <c r="S87" i="9"/>
  <c r="AE135" i="9"/>
  <c r="AA135" i="9"/>
  <c r="W135" i="9"/>
  <c r="S135" i="9"/>
  <c r="AC138" i="9"/>
  <c r="Y138" i="9"/>
  <c r="U138" i="9"/>
  <c r="AF88" i="9"/>
  <c r="AB88" i="9"/>
  <c r="X88" i="9"/>
  <c r="T88" i="9"/>
  <c r="AD136" i="9"/>
  <c r="Z136" i="9"/>
  <c r="V136" i="9"/>
  <c r="AC86" i="9"/>
  <c r="Y86" i="9"/>
  <c r="U86" i="9"/>
  <c r="AC46" i="9"/>
  <c r="U46" i="9"/>
  <c r="Z85" i="9"/>
  <c r="AC95" i="9"/>
  <c r="U95" i="9"/>
  <c r="AD53" i="9"/>
  <c r="V53" i="9"/>
  <c r="Y93" i="9"/>
  <c r="AA96" i="9"/>
  <c r="S96" i="9"/>
  <c r="U54" i="9"/>
  <c r="AA94" i="9"/>
  <c r="T52" i="9"/>
  <c r="AF51" i="9"/>
  <c r="Y99" i="9"/>
  <c r="W57" i="9"/>
  <c r="Z97" i="9"/>
  <c r="Y100" i="9"/>
  <c r="AB58" i="9"/>
  <c r="AE98" i="9"/>
  <c r="W56" i="9"/>
  <c r="T32" i="9"/>
  <c r="AB55" i="9"/>
  <c r="Z143" i="9"/>
  <c r="X105" i="9"/>
  <c r="AA141" i="9"/>
  <c r="AD144" i="9"/>
  <c r="AB106" i="9"/>
  <c r="AE142" i="9"/>
  <c r="W102" i="9"/>
  <c r="U59" i="9"/>
  <c r="X101" i="9"/>
  <c r="V111" i="9"/>
  <c r="T65" i="9"/>
  <c r="Z66" i="9"/>
  <c r="AD110" i="9"/>
  <c r="AB62" i="9"/>
  <c r="Z33" i="9"/>
  <c r="AD61" i="9"/>
  <c r="AF71" i="9"/>
  <c r="Y117" i="9"/>
  <c r="W120" i="9"/>
  <c r="Y73" i="9"/>
  <c r="AD118" i="9"/>
  <c r="W35" i="9"/>
  <c r="W211" i="9"/>
  <c r="AE162" i="9"/>
  <c r="AB131" i="9"/>
  <c r="AD244" i="9"/>
  <c r="AE191" i="9"/>
  <c r="X188" i="9"/>
  <c r="AA39" i="9"/>
  <c r="AA18" i="9"/>
  <c r="S18" i="9"/>
  <c r="AA12" i="9"/>
  <c r="S12" i="9"/>
  <c r="AE77" i="9"/>
  <c r="S45" i="9"/>
  <c r="AE48" i="9"/>
  <c r="S48" i="9"/>
  <c r="AA47" i="9"/>
  <c r="AE137" i="9"/>
  <c r="AE86" i="9"/>
  <c r="W86" i="9"/>
  <c r="W94" i="9"/>
  <c r="S141" i="9"/>
  <c r="W142" i="9"/>
  <c r="AE155" i="9"/>
  <c r="AE194" i="9"/>
  <c r="U182" i="9"/>
  <c r="U231" i="9"/>
  <c r="U204" i="9"/>
  <c r="U160" i="9"/>
  <c r="U206" i="9"/>
  <c r="U246" i="9"/>
  <c r="U208" i="9"/>
  <c r="U245" i="9"/>
  <c r="U232" i="9"/>
  <c r="U229" i="9"/>
  <c r="U172" i="9"/>
  <c r="U174" i="9"/>
  <c r="U222" i="9"/>
  <c r="U175" i="9"/>
  <c r="U140" i="9"/>
  <c r="U184" i="9"/>
  <c r="U183" i="9"/>
  <c r="U176" i="9"/>
  <c r="U248" i="9"/>
  <c r="U230" i="9"/>
  <c r="U247" i="9"/>
  <c r="U198" i="9"/>
  <c r="U224" i="9"/>
  <c r="U223" i="9"/>
  <c r="U207" i="9"/>
  <c r="U166" i="9"/>
  <c r="U216" i="9"/>
  <c r="U167" i="9"/>
  <c r="U215" i="9"/>
  <c r="U154" i="9"/>
  <c r="U221" i="9"/>
  <c r="U164" i="9"/>
  <c r="U132" i="9"/>
  <c r="U168" i="9"/>
  <c r="U153" i="9"/>
  <c r="U126" i="9"/>
  <c r="U200" i="9"/>
  <c r="U188" i="9"/>
  <c r="U238" i="9"/>
  <c r="U192" i="9"/>
  <c r="U239" i="9"/>
  <c r="U72" i="9"/>
  <c r="U36" i="9"/>
  <c r="U76" i="9"/>
  <c r="U63" i="9"/>
  <c r="U34" i="9"/>
  <c r="U134" i="9"/>
  <c r="U214" i="9"/>
  <c r="U213" i="9"/>
  <c r="U158" i="9"/>
  <c r="U199" i="9"/>
  <c r="U237" i="9"/>
  <c r="U191" i="9"/>
  <c r="U122" i="9"/>
  <c r="U124" i="9"/>
  <c r="U197" i="9"/>
  <c r="U150" i="9"/>
  <c r="U240" i="9"/>
  <c r="U75" i="9"/>
  <c r="U157" i="9"/>
  <c r="U64" i="9"/>
  <c r="U68" i="9"/>
  <c r="U116" i="9"/>
  <c r="U67" i="9"/>
  <c r="U115" i="9"/>
  <c r="U103" i="9"/>
  <c r="U104" i="9"/>
  <c r="U108" i="9"/>
  <c r="U145" i="9"/>
  <c r="U228" i="9"/>
  <c r="U179" i="9"/>
  <c r="U217" i="9"/>
  <c r="U114" i="9"/>
  <c r="U60" i="9"/>
  <c r="U148" i="9"/>
  <c r="U177" i="9"/>
  <c r="U178" i="9"/>
  <c r="U181" i="9"/>
  <c r="U169" i="9"/>
  <c r="U170" i="9"/>
  <c r="U173" i="9"/>
  <c r="U74" i="9"/>
  <c r="U121" i="9"/>
  <c r="U123" i="9"/>
  <c r="U113" i="9"/>
  <c r="U146" i="9"/>
  <c r="U147" i="9"/>
  <c r="U226" i="9"/>
  <c r="U225" i="9"/>
  <c r="U133" i="9"/>
  <c r="U218" i="9"/>
  <c r="U219" i="9"/>
  <c r="U201" i="9"/>
  <c r="U187" i="9"/>
  <c r="U159" i="9"/>
  <c r="U243" i="9"/>
  <c r="U131" i="9"/>
  <c r="U210" i="9"/>
  <c r="U165" i="9"/>
  <c r="U151" i="9"/>
  <c r="U196" i="9"/>
  <c r="U185" i="9"/>
  <c r="U190" i="9"/>
  <c r="U118" i="9"/>
  <c r="U227" i="9"/>
  <c r="U171" i="9"/>
  <c r="U162" i="9"/>
  <c r="U163" i="9"/>
  <c r="U211" i="9"/>
  <c r="U194" i="9"/>
  <c r="U156" i="9"/>
  <c r="U193" i="9"/>
  <c r="U155" i="9"/>
  <c r="U234" i="9"/>
  <c r="U189" i="9"/>
  <c r="U107" i="9"/>
  <c r="U139" i="9"/>
  <c r="U220" i="9"/>
  <c r="U202" i="9"/>
  <c r="U205" i="9"/>
  <c r="U161" i="9"/>
  <c r="U209" i="9"/>
  <c r="U152" i="9"/>
  <c r="U195" i="9"/>
  <c r="U149" i="9"/>
  <c r="U186" i="9"/>
  <c r="U69" i="9"/>
  <c r="U70" i="9"/>
  <c r="U203" i="9"/>
  <c r="U212" i="9"/>
  <c r="U125" i="9"/>
  <c r="U71" i="9"/>
  <c r="U62" i="9"/>
  <c r="U65" i="9"/>
  <c r="U101" i="9"/>
  <c r="U106" i="9"/>
  <c r="U105" i="9"/>
  <c r="U55" i="9"/>
  <c r="U32" i="9"/>
  <c r="U58" i="9"/>
  <c r="U51" i="9"/>
  <c r="U52" i="9"/>
  <c r="U244" i="9"/>
  <c r="U236" i="9"/>
  <c r="U73" i="9"/>
  <c r="U120" i="9"/>
  <c r="U102" i="9"/>
  <c r="U142" i="9"/>
  <c r="U141" i="9"/>
  <c r="U56" i="9"/>
  <c r="U98" i="9"/>
  <c r="U57" i="9"/>
  <c r="U233" i="9"/>
  <c r="U235" i="9"/>
  <c r="U35" i="9"/>
  <c r="U119" i="9"/>
  <c r="U61" i="9"/>
  <c r="U33" i="9"/>
  <c r="U110" i="9"/>
  <c r="U66" i="9"/>
  <c r="U112" i="9"/>
  <c r="U109" i="9"/>
  <c r="U111" i="9"/>
  <c r="U144" i="9"/>
  <c r="U143" i="9"/>
  <c r="U97" i="9"/>
  <c r="U31" i="9"/>
  <c r="U53" i="9"/>
  <c r="U85" i="9"/>
  <c r="Y182" i="9"/>
  <c r="Y231" i="9"/>
  <c r="Y204" i="9"/>
  <c r="Y160" i="9"/>
  <c r="Y206" i="9"/>
  <c r="Y246" i="9"/>
  <c r="Y208" i="9"/>
  <c r="Y245" i="9"/>
  <c r="Y232" i="9"/>
  <c r="Y229" i="9"/>
  <c r="Y172" i="9"/>
  <c r="Y174" i="9"/>
  <c r="Y222" i="9"/>
  <c r="Y175" i="9"/>
  <c r="Y140" i="9"/>
  <c r="Y184" i="9"/>
  <c r="Y183" i="9"/>
  <c r="Y176" i="9"/>
  <c r="Y248" i="9"/>
  <c r="Y134" i="9"/>
  <c r="Y247" i="9"/>
  <c r="Y198" i="9"/>
  <c r="Y230" i="9"/>
  <c r="Y207" i="9"/>
  <c r="Y166" i="9"/>
  <c r="Y216" i="9"/>
  <c r="Y167" i="9"/>
  <c r="Y215" i="9"/>
  <c r="Y154" i="9"/>
  <c r="Y224" i="9"/>
  <c r="Y223" i="9"/>
  <c r="Y164" i="9"/>
  <c r="Y132" i="9"/>
  <c r="Y168" i="9"/>
  <c r="Y153" i="9"/>
  <c r="Y126" i="9"/>
  <c r="Y200" i="9"/>
  <c r="Y221" i="9"/>
  <c r="Y188" i="9"/>
  <c r="Y238" i="9"/>
  <c r="Y192" i="9"/>
  <c r="Y239" i="9"/>
  <c r="Y72" i="9"/>
  <c r="Y36" i="9"/>
  <c r="Y76" i="9"/>
  <c r="Y63" i="9"/>
  <c r="Y199" i="9"/>
  <c r="Y237" i="9"/>
  <c r="Y191" i="9"/>
  <c r="Y122" i="9"/>
  <c r="Y124" i="9"/>
  <c r="Y214" i="9"/>
  <c r="Y213" i="9"/>
  <c r="Y197" i="9"/>
  <c r="Y150" i="9"/>
  <c r="Y240" i="9"/>
  <c r="Y75" i="9"/>
  <c r="Y187" i="9"/>
  <c r="Y121" i="9"/>
  <c r="Y123" i="9"/>
  <c r="Y64" i="9"/>
  <c r="Y68" i="9"/>
  <c r="Y116" i="9"/>
  <c r="Y67" i="9"/>
  <c r="Y115" i="9"/>
  <c r="Y103" i="9"/>
  <c r="Y104" i="9"/>
  <c r="Y108" i="9"/>
  <c r="Y145" i="9"/>
  <c r="Y228" i="9"/>
  <c r="Y179" i="9"/>
  <c r="Y217" i="9"/>
  <c r="Y157" i="9"/>
  <c r="Y114" i="9"/>
  <c r="Y60" i="9"/>
  <c r="Y148" i="9"/>
  <c r="Y177" i="9"/>
  <c r="Y178" i="9"/>
  <c r="Y181" i="9"/>
  <c r="Y169" i="9"/>
  <c r="Y170" i="9"/>
  <c r="Y173" i="9"/>
  <c r="Y158" i="9"/>
  <c r="Y34" i="9"/>
  <c r="Y113" i="9"/>
  <c r="Y146" i="9"/>
  <c r="Y147" i="9"/>
  <c r="Y226" i="9"/>
  <c r="Y225" i="9"/>
  <c r="Y133" i="9"/>
  <c r="Y218" i="9"/>
  <c r="Y219" i="9"/>
  <c r="Y201" i="9"/>
  <c r="Y202" i="9"/>
  <c r="Y205" i="9"/>
  <c r="Y243" i="9"/>
  <c r="Y131" i="9"/>
  <c r="Y210" i="9"/>
  <c r="Y165" i="9"/>
  <c r="Y151" i="9"/>
  <c r="Y196" i="9"/>
  <c r="Y185" i="9"/>
  <c r="Y190" i="9"/>
  <c r="Y118" i="9"/>
  <c r="Y74" i="9"/>
  <c r="Y159" i="9"/>
  <c r="Y242" i="9"/>
  <c r="Y162" i="9"/>
  <c r="Y163" i="9"/>
  <c r="Y211" i="9"/>
  <c r="Y194" i="9"/>
  <c r="Y156" i="9"/>
  <c r="Y193" i="9"/>
  <c r="Y155" i="9"/>
  <c r="Y234" i="9"/>
  <c r="Y189" i="9"/>
  <c r="Y227" i="9"/>
  <c r="Y171" i="9"/>
  <c r="Y244" i="9"/>
  <c r="Y161" i="9"/>
  <c r="Y209" i="9"/>
  <c r="Y152" i="9"/>
  <c r="Y195" i="9"/>
  <c r="Y149" i="9"/>
  <c r="Y186" i="9"/>
  <c r="Y69" i="9"/>
  <c r="Y70" i="9"/>
  <c r="Y107" i="9"/>
  <c r="Y241" i="9"/>
  <c r="Y235" i="9"/>
  <c r="Y35" i="9"/>
  <c r="Y71" i="9"/>
  <c r="Y62" i="9"/>
  <c r="Y65" i="9"/>
  <c r="Y101" i="9"/>
  <c r="Y106" i="9"/>
  <c r="Y105" i="9"/>
  <c r="Y55" i="9"/>
  <c r="Y32" i="9"/>
  <c r="Y58" i="9"/>
  <c r="Y51" i="9"/>
  <c r="Y52" i="9"/>
  <c r="Y139" i="9"/>
  <c r="Y203" i="9"/>
  <c r="Y212" i="9"/>
  <c r="Y125" i="9"/>
  <c r="Y120" i="9"/>
  <c r="Y102" i="9"/>
  <c r="Y142" i="9"/>
  <c r="Y141" i="9"/>
  <c r="Y56" i="9"/>
  <c r="Y98" i="9"/>
  <c r="Y57" i="9"/>
  <c r="Y236" i="9"/>
  <c r="Y119" i="9"/>
  <c r="Y61" i="9"/>
  <c r="Y33" i="9"/>
  <c r="Y110" i="9"/>
  <c r="Y66" i="9"/>
  <c r="Y112" i="9"/>
  <c r="Y109" i="9"/>
  <c r="Y111" i="9"/>
  <c r="Y144" i="9"/>
  <c r="Y143" i="9"/>
  <c r="Y97" i="9"/>
  <c r="Y31" i="9"/>
  <c r="Y53" i="9"/>
  <c r="Y85" i="9"/>
  <c r="AC182" i="9"/>
  <c r="AC231" i="9"/>
  <c r="AC204" i="9"/>
  <c r="AC160" i="9"/>
  <c r="AC206" i="9"/>
  <c r="AC246" i="9"/>
  <c r="AC208" i="9"/>
  <c r="AC245" i="9"/>
  <c r="AC232" i="9"/>
  <c r="AC229" i="9"/>
  <c r="AC172" i="9"/>
  <c r="AC174" i="9"/>
  <c r="AC222" i="9"/>
  <c r="AC175" i="9"/>
  <c r="AC140" i="9"/>
  <c r="AC184" i="9"/>
  <c r="AC183" i="9"/>
  <c r="AC176" i="9"/>
  <c r="AC248" i="9"/>
  <c r="AC221" i="9"/>
  <c r="AC247" i="9"/>
  <c r="AC198" i="9"/>
  <c r="AC134" i="9"/>
  <c r="AC207" i="9"/>
  <c r="AC166" i="9"/>
  <c r="AC216" i="9"/>
  <c r="AC167" i="9"/>
  <c r="AC215" i="9"/>
  <c r="AC154" i="9"/>
  <c r="AC230" i="9"/>
  <c r="AC164" i="9"/>
  <c r="AC132" i="9"/>
  <c r="AC168" i="9"/>
  <c r="AC153" i="9"/>
  <c r="AC126" i="9"/>
  <c r="AC200" i="9"/>
  <c r="AC188" i="9"/>
  <c r="AC238" i="9"/>
  <c r="AC192" i="9"/>
  <c r="AC239" i="9"/>
  <c r="AC72" i="9"/>
  <c r="AC36" i="9"/>
  <c r="AC76" i="9"/>
  <c r="AC63" i="9"/>
  <c r="AC224" i="9"/>
  <c r="AC158" i="9"/>
  <c r="AC199" i="9"/>
  <c r="AC237" i="9"/>
  <c r="AC191" i="9"/>
  <c r="AC122" i="9"/>
  <c r="AC124" i="9"/>
  <c r="AC223" i="9"/>
  <c r="AC197" i="9"/>
  <c r="AC150" i="9"/>
  <c r="AC240" i="9"/>
  <c r="AC75" i="9"/>
  <c r="AC214" i="9"/>
  <c r="AC74" i="9"/>
  <c r="AC64" i="9"/>
  <c r="AC68" i="9"/>
  <c r="AC116" i="9"/>
  <c r="AC67" i="9"/>
  <c r="AC115" i="9"/>
  <c r="AC103" i="9"/>
  <c r="AC104" i="9"/>
  <c r="AC108" i="9"/>
  <c r="AC145" i="9"/>
  <c r="AC228" i="9"/>
  <c r="AC179" i="9"/>
  <c r="AC217" i="9"/>
  <c r="AC213" i="9"/>
  <c r="AC187" i="9"/>
  <c r="AC114" i="9"/>
  <c r="AC60" i="9"/>
  <c r="AC148" i="9"/>
  <c r="AC177" i="9"/>
  <c r="AC178" i="9"/>
  <c r="AC181" i="9"/>
  <c r="AC169" i="9"/>
  <c r="AC170" i="9"/>
  <c r="AC173" i="9"/>
  <c r="AC157" i="9"/>
  <c r="AC121" i="9"/>
  <c r="AC123" i="9"/>
  <c r="AC34" i="9"/>
  <c r="AC113" i="9"/>
  <c r="AC146" i="9"/>
  <c r="AC147" i="9"/>
  <c r="AC226" i="9"/>
  <c r="AC225" i="9"/>
  <c r="AC133" i="9"/>
  <c r="AC218" i="9"/>
  <c r="AC219" i="9"/>
  <c r="AC201" i="9"/>
  <c r="AC107" i="9"/>
  <c r="AC139" i="9"/>
  <c r="AC220" i="9"/>
  <c r="AC243" i="9"/>
  <c r="AC131" i="9"/>
  <c r="AC210" i="9"/>
  <c r="AC165" i="9"/>
  <c r="AC151" i="9"/>
  <c r="AC196" i="9"/>
  <c r="AC185" i="9"/>
  <c r="AC190" i="9"/>
  <c r="AC118" i="9"/>
  <c r="AC162" i="9"/>
  <c r="AC163" i="9"/>
  <c r="AC211" i="9"/>
  <c r="AC194" i="9"/>
  <c r="AC156" i="9"/>
  <c r="AC193" i="9"/>
  <c r="AC155" i="9"/>
  <c r="AC234" i="9"/>
  <c r="AC189" i="9"/>
  <c r="AC202" i="9"/>
  <c r="AC205" i="9"/>
  <c r="AC244" i="9"/>
  <c r="AC161" i="9"/>
  <c r="AC209" i="9"/>
  <c r="AC152" i="9"/>
  <c r="AC195" i="9"/>
  <c r="AC149" i="9"/>
  <c r="AC186" i="9"/>
  <c r="AC69" i="9"/>
  <c r="AC70" i="9"/>
  <c r="AC242" i="9"/>
  <c r="AC233" i="9"/>
  <c r="AC71" i="9"/>
  <c r="AC62" i="9"/>
  <c r="AC65" i="9"/>
  <c r="AC101" i="9"/>
  <c r="AC106" i="9"/>
  <c r="AC105" i="9"/>
  <c r="AC55" i="9"/>
  <c r="AC32" i="9"/>
  <c r="AC58" i="9"/>
  <c r="AC51" i="9"/>
  <c r="AC52" i="9"/>
  <c r="AC227" i="9"/>
  <c r="AC171" i="9"/>
  <c r="AC241" i="9"/>
  <c r="AC120" i="9"/>
  <c r="AC102" i="9"/>
  <c r="AC142" i="9"/>
  <c r="AC141" i="9"/>
  <c r="AC56" i="9"/>
  <c r="AC98" i="9"/>
  <c r="AC57" i="9"/>
  <c r="AC159" i="9"/>
  <c r="AC203" i="9"/>
  <c r="AC212" i="9"/>
  <c r="AC125" i="9"/>
  <c r="AC235" i="9"/>
  <c r="AC35" i="9"/>
  <c r="AC73" i="9"/>
  <c r="AC119" i="9"/>
  <c r="AC61" i="9"/>
  <c r="AC33" i="9"/>
  <c r="AC110" i="9"/>
  <c r="AC66" i="9"/>
  <c r="AC112" i="9"/>
  <c r="AC109" i="9"/>
  <c r="AC111" i="9"/>
  <c r="AC144" i="9"/>
  <c r="AC143" i="9"/>
  <c r="AC97" i="9"/>
  <c r="AC31" i="9"/>
  <c r="AC53" i="9"/>
  <c r="AC85" i="9"/>
  <c r="AC39" i="9"/>
  <c r="Y39" i="9"/>
  <c r="U39" i="9"/>
  <c r="V230" i="9"/>
  <c r="V134" i="9"/>
  <c r="V224" i="9"/>
  <c r="V221" i="9"/>
  <c r="V223" i="9"/>
  <c r="V182" i="9"/>
  <c r="V231" i="9"/>
  <c r="V204" i="9"/>
  <c r="V160" i="9"/>
  <c r="V206" i="9"/>
  <c r="V246" i="9"/>
  <c r="V208" i="9"/>
  <c r="V232" i="9"/>
  <c r="V229" i="9"/>
  <c r="V172" i="9"/>
  <c r="V174" i="9"/>
  <c r="V222" i="9"/>
  <c r="V175" i="9"/>
  <c r="V140" i="9"/>
  <c r="V184" i="9"/>
  <c r="V214" i="9"/>
  <c r="V213" i="9"/>
  <c r="V158" i="9"/>
  <c r="V183" i="9"/>
  <c r="V245" i="9"/>
  <c r="V247" i="9"/>
  <c r="V198" i="9"/>
  <c r="V248" i="9"/>
  <c r="V207" i="9"/>
  <c r="V166" i="9"/>
  <c r="V216" i="9"/>
  <c r="V167" i="9"/>
  <c r="V215" i="9"/>
  <c r="V154" i="9"/>
  <c r="V164" i="9"/>
  <c r="V157" i="9"/>
  <c r="V187" i="9"/>
  <c r="V74" i="9"/>
  <c r="V121" i="9"/>
  <c r="V176" i="9"/>
  <c r="V132" i="9"/>
  <c r="V168" i="9"/>
  <c r="V153" i="9"/>
  <c r="V200" i="9"/>
  <c r="V188" i="9"/>
  <c r="V238" i="9"/>
  <c r="V192" i="9"/>
  <c r="V239" i="9"/>
  <c r="V72" i="9"/>
  <c r="V36" i="9"/>
  <c r="V76" i="9"/>
  <c r="V126" i="9"/>
  <c r="V199" i="9"/>
  <c r="V237" i="9"/>
  <c r="V191" i="9"/>
  <c r="V122" i="9"/>
  <c r="V124" i="9"/>
  <c r="V123" i="9"/>
  <c r="V107" i="9"/>
  <c r="V139" i="9"/>
  <c r="V227" i="9"/>
  <c r="V220" i="9"/>
  <c r="V171" i="9"/>
  <c r="V159" i="9"/>
  <c r="V205" i="9"/>
  <c r="V244" i="9"/>
  <c r="V64" i="9"/>
  <c r="V68" i="9"/>
  <c r="V116" i="9"/>
  <c r="V67" i="9"/>
  <c r="V115" i="9"/>
  <c r="V103" i="9"/>
  <c r="V104" i="9"/>
  <c r="V108" i="9"/>
  <c r="V145" i="9"/>
  <c r="V228" i="9"/>
  <c r="V179" i="9"/>
  <c r="V217" i="9"/>
  <c r="V197" i="9"/>
  <c r="V240" i="9"/>
  <c r="V75" i="9"/>
  <c r="V63" i="9"/>
  <c r="V114" i="9"/>
  <c r="V60" i="9"/>
  <c r="V148" i="9"/>
  <c r="V177" i="9"/>
  <c r="V178" i="9"/>
  <c r="V181" i="9"/>
  <c r="V169" i="9"/>
  <c r="V170" i="9"/>
  <c r="V173" i="9"/>
  <c r="V202" i="9"/>
  <c r="V242" i="9"/>
  <c r="V226" i="9"/>
  <c r="V241" i="9"/>
  <c r="V203" i="9"/>
  <c r="V212" i="9"/>
  <c r="V125" i="9"/>
  <c r="V236" i="9"/>
  <c r="V233" i="9"/>
  <c r="V235" i="9"/>
  <c r="V225" i="9"/>
  <c r="V219" i="9"/>
  <c r="V243" i="9"/>
  <c r="V131" i="9"/>
  <c r="V210" i="9"/>
  <c r="V165" i="9"/>
  <c r="V151" i="9"/>
  <c r="V196" i="9"/>
  <c r="V185" i="9"/>
  <c r="V190" i="9"/>
  <c r="V150" i="9"/>
  <c r="V34" i="9"/>
  <c r="V146" i="9"/>
  <c r="V147" i="9"/>
  <c r="V218" i="9"/>
  <c r="V201" i="9"/>
  <c r="V162" i="9"/>
  <c r="V163" i="9"/>
  <c r="V211" i="9"/>
  <c r="V194" i="9"/>
  <c r="V156" i="9"/>
  <c r="V193" i="9"/>
  <c r="V155" i="9"/>
  <c r="V234" i="9"/>
  <c r="V189" i="9"/>
  <c r="V35" i="9"/>
  <c r="V73" i="9"/>
  <c r="V209" i="9"/>
  <c r="V152" i="9"/>
  <c r="V70" i="9"/>
  <c r="V117" i="9"/>
  <c r="V59" i="9"/>
  <c r="V100" i="9"/>
  <c r="V99" i="9"/>
  <c r="V94" i="9"/>
  <c r="V46" i="9"/>
  <c r="V113" i="9"/>
  <c r="V71" i="9"/>
  <c r="V62" i="9"/>
  <c r="V65" i="9"/>
  <c r="V101" i="9"/>
  <c r="V106" i="9"/>
  <c r="V105" i="9"/>
  <c r="V55" i="9"/>
  <c r="V32" i="9"/>
  <c r="V58" i="9"/>
  <c r="V51" i="9"/>
  <c r="V52" i="9"/>
  <c r="V133" i="9"/>
  <c r="V161" i="9"/>
  <c r="V149" i="9"/>
  <c r="V69" i="9"/>
  <c r="V120" i="9"/>
  <c r="V102" i="9"/>
  <c r="V142" i="9"/>
  <c r="V141" i="9"/>
  <c r="V56" i="9"/>
  <c r="V98" i="9"/>
  <c r="V57" i="9"/>
  <c r="V54" i="9"/>
  <c r="V96" i="9"/>
  <c r="V93" i="9"/>
  <c r="V95" i="9"/>
  <c r="Z230" i="9"/>
  <c r="Z134" i="9"/>
  <c r="Z224" i="9"/>
  <c r="Z221" i="9"/>
  <c r="Z223" i="9"/>
  <c r="Z182" i="9"/>
  <c r="Z231" i="9"/>
  <c r="Z204" i="9"/>
  <c r="Z160" i="9"/>
  <c r="Z206" i="9"/>
  <c r="Z246" i="9"/>
  <c r="Z232" i="9"/>
  <c r="Z229" i="9"/>
  <c r="Z172" i="9"/>
  <c r="Z174" i="9"/>
  <c r="Z222" i="9"/>
  <c r="Z175" i="9"/>
  <c r="Z176" i="9"/>
  <c r="Z248" i="9"/>
  <c r="Z214" i="9"/>
  <c r="Z213" i="9"/>
  <c r="Z158" i="9"/>
  <c r="Z140" i="9"/>
  <c r="Z184" i="9"/>
  <c r="Z208" i="9"/>
  <c r="Z247" i="9"/>
  <c r="Z198" i="9"/>
  <c r="Z183" i="9"/>
  <c r="Z207" i="9"/>
  <c r="Z166" i="9"/>
  <c r="Z216" i="9"/>
  <c r="Z167" i="9"/>
  <c r="Z215" i="9"/>
  <c r="Z154" i="9"/>
  <c r="Z157" i="9"/>
  <c r="Z187" i="9"/>
  <c r="Z74" i="9"/>
  <c r="Z121" i="9"/>
  <c r="Z164" i="9"/>
  <c r="Z188" i="9"/>
  <c r="Z238" i="9"/>
  <c r="Z192" i="9"/>
  <c r="Z239" i="9"/>
  <c r="Z72" i="9"/>
  <c r="Z36" i="9"/>
  <c r="Z76" i="9"/>
  <c r="Z245" i="9"/>
  <c r="Z132" i="9"/>
  <c r="Z168" i="9"/>
  <c r="Z153" i="9"/>
  <c r="Z199" i="9"/>
  <c r="Z237" i="9"/>
  <c r="Z191" i="9"/>
  <c r="Z122" i="9"/>
  <c r="Z124" i="9"/>
  <c r="Z123" i="9"/>
  <c r="Z126" i="9"/>
  <c r="Z200" i="9"/>
  <c r="Z150" i="9"/>
  <c r="Z75" i="9"/>
  <c r="Z63" i="9"/>
  <c r="Z107" i="9"/>
  <c r="Z139" i="9"/>
  <c r="Z227" i="9"/>
  <c r="Z220" i="9"/>
  <c r="Z171" i="9"/>
  <c r="Z159" i="9"/>
  <c r="Z205" i="9"/>
  <c r="Z64" i="9"/>
  <c r="Z68" i="9"/>
  <c r="Z116" i="9"/>
  <c r="Z67" i="9"/>
  <c r="Z115" i="9"/>
  <c r="Z103" i="9"/>
  <c r="Z104" i="9"/>
  <c r="Z108" i="9"/>
  <c r="Z145" i="9"/>
  <c r="Z228" i="9"/>
  <c r="Z179" i="9"/>
  <c r="Z217" i="9"/>
  <c r="Z114" i="9"/>
  <c r="Z60" i="9"/>
  <c r="Z148" i="9"/>
  <c r="Z177" i="9"/>
  <c r="Z178" i="9"/>
  <c r="Z181" i="9"/>
  <c r="Z169" i="9"/>
  <c r="Z170" i="9"/>
  <c r="Z173" i="9"/>
  <c r="Z202" i="9"/>
  <c r="Z242" i="9"/>
  <c r="Z113" i="9"/>
  <c r="Z133" i="9"/>
  <c r="Z241" i="9"/>
  <c r="Z203" i="9"/>
  <c r="Z212" i="9"/>
  <c r="Z125" i="9"/>
  <c r="Z236" i="9"/>
  <c r="Z233" i="9"/>
  <c r="Z235" i="9"/>
  <c r="Z226" i="9"/>
  <c r="Z243" i="9"/>
  <c r="Z131" i="9"/>
  <c r="Z210" i="9"/>
  <c r="Z165" i="9"/>
  <c r="Z151" i="9"/>
  <c r="Z196" i="9"/>
  <c r="Z185" i="9"/>
  <c r="Z190" i="9"/>
  <c r="Z240" i="9"/>
  <c r="Z225" i="9"/>
  <c r="Z219" i="9"/>
  <c r="Z162" i="9"/>
  <c r="Z163" i="9"/>
  <c r="Z211" i="9"/>
  <c r="Z194" i="9"/>
  <c r="Z156" i="9"/>
  <c r="Z193" i="9"/>
  <c r="Z155" i="9"/>
  <c r="Z234" i="9"/>
  <c r="Z189" i="9"/>
  <c r="Z35" i="9"/>
  <c r="Z73" i="9"/>
  <c r="Z218" i="9"/>
  <c r="Z195" i="9"/>
  <c r="Z186" i="9"/>
  <c r="Z69" i="9"/>
  <c r="Z117" i="9"/>
  <c r="Z59" i="9"/>
  <c r="Z100" i="9"/>
  <c r="Z99" i="9"/>
  <c r="Z94" i="9"/>
  <c r="Z46" i="9"/>
  <c r="Z197" i="9"/>
  <c r="Z209" i="9"/>
  <c r="Z152" i="9"/>
  <c r="Z118" i="9"/>
  <c r="Z71" i="9"/>
  <c r="Z62" i="9"/>
  <c r="Z65" i="9"/>
  <c r="Z101" i="9"/>
  <c r="Z106" i="9"/>
  <c r="Z105" i="9"/>
  <c r="Z55" i="9"/>
  <c r="Z32" i="9"/>
  <c r="Z58" i="9"/>
  <c r="Z51" i="9"/>
  <c r="Z52" i="9"/>
  <c r="Z34" i="9"/>
  <c r="Z147" i="9"/>
  <c r="Z201" i="9"/>
  <c r="Z244" i="9"/>
  <c r="Z70" i="9"/>
  <c r="Z120" i="9"/>
  <c r="Z102" i="9"/>
  <c r="Z142" i="9"/>
  <c r="Z141" i="9"/>
  <c r="Z56" i="9"/>
  <c r="Z98" i="9"/>
  <c r="Z57" i="9"/>
  <c r="Z54" i="9"/>
  <c r="Z96" i="9"/>
  <c r="Z93" i="9"/>
  <c r="Z95" i="9"/>
  <c r="AD230" i="9"/>
  <c r="AD134" i="9"/>
  <c r="AD224" i="9"/>
  <c r="AD221" i="9"/>
  <c r="AD223" i="9"/>
  <c r="AD182" i="9"/>
  <c r="AD231" i="9"/>
  <c r="AD204" i="9"/>
  <c r="AD160" i="9"/>
  <c r="AD206" i="9"/>
  <c r="AD246" i="9"/>
  <c r="AD232" i="9"/>
  <c r="AD229" i="9"/>
  <c r="AD172" i="9"/>
  <c r="AD174" i="9"/>
  <c r="AD222" i="9"/>
  <c r="AD175" i="9"/>
  <c r="AD214" i="9"/>
  <c r="AD213" i="9"/>
  <c r="AD158" i="9"/>
  <c r="AD176" i="9"/>
  <c r="AD245" i="9"/>
  <c r="AD247" i="9"/>
  <c r="AD198" i="9"/>
  <c r="AD140" i="9"/>
  <c r="AD184" i="9"/>
  <c r="AD248" i="9"/>
  <c r="AD207" i="9"/>
  <c r="AD166" i="9"/>
  <c r="AD216" i="9"/>
  <c r="AD167" i="9"/>
  <c r="AD215" i="9"/>
  <c r="AD154" i="9"/>
  <c r="AD126" i="9"/>
  <c r="AD157" i="9"/>
  <c r="AD187" i="9"/>
  <c r="AD74" i="9"/>
  <c r="AD121" i="9"/>
  <c r="AD200" i="9"/>
  <c r="AD188" i="9"/>
  <c r="AD238" i="9"/>
  <c r="AD192" i="9"/>
  <c r="AD239" i="9"/>
  <c r="AD72" i="9"/>
  <c r="AD36" i="9"/>
  <c r="AD76" i="9"/>
  <c r="AD164" i="9"/>
  <c r="AD199" i="9"/>
  <c r="AD237" i="9"/>
  <c r="AD191" i="9"/>
  <c r="AD122" i="9"/>
  <c r="AD124" i="9"/>
  <c r="AD123" i="9"/>
  <c r="AD197" i="9"/>
  <c r="AD240" i="9"/>
  <c r="AD107" i="9"/>
  <c r="AD139" i="9"/>
  <c r="AD227" i="9"/>
  <c r="AD220" i="9"/>
  <c r="AD171" i="9"/>
  <c r="AD159" i="9"/>
  <c r="AD205" i="9"/>
  <c r="AD183" i="9"/>
  <c r="AD132" i="9"/>
  <c r="AD153" i="9"/>
  <c r="AD150" i="9"/>
  <c r="AD64" i="9"/>
  <c r="AD68" i="9"/>
  <c r="AD116" i="9"/>
  <c r="AD67" i="9"/>
  <c r="AD115" i="9"/>
  <c r="AD103" i="9"/>
  <c r="AD104" i="9"/>
  <c r="AD108" i="9"/>
  <c r="AD145" i="9"/>
  <c r="AD228" i="9"/>
  <c r="AD179" i="9"/>
  <c r="AD217" i="9"/>
  <c r="AD168" i="9"/>
  <c r="AD75" i="9"/>
  <c r="AD63" i="9"/>
  <c r="AD114" i="9"/>
  <c r="AD60" i="9"/>
  <c r="AD148" i="9"/>
  <c r="AD177" i="9"/>
  <c r="AD178" i="9"/>
  <c r="AD181" i="9"/>
  <c r="AD169" i="9"/>
  <c r="AD170" i="9"/>
  <c r="AD173" i="9"/>
  <c r="AD202" i="9"/>
  <c r="AD242" i="9"/>
  <c r="AD208" i="9"/>
  <c r="AD34" i="9"/>
  <c r="AD146" i="9"/>
  <c r="AD147" i="9"/>
  <c r="AD218" i="9"/>
  <c r="AD201" i="9"/>
  <c r="AD241" i="9"/>
  <c r="AD203" i="9"/>
  <c r="AD212" i="9"/>
  <c r="AD125" i="9"/>
  <c r="AD236" i="9"/>
  <c r="AD233" i="9"/>
  <c r="AD235" i="9"/>
  <c r="AD113" i="9"/>
  <c r="AD133" i="9"/>
  <c r="AD243" i="9"/>
  <c r="AD131" i="9"/>
  <c r="AD210" i="9"/>
  <c r="AD165" i="9"/>
  <c r="AD151" i="9"/>
  <c r="AD196" i="9"/>
  <c r="AD185" i="9"/>
  <c r="AD190" i="9"/>
  <c r="AD226" i="9"/>
  <c r="AD162" i="9"/>
  <c r="AD163" i="9"/>
  <c r="AD211" i="9"/>
  <c r="AD194" i="9"/>
  <c r="AD156" i="9"/>
  <c r="AD193" i="9"/>
  <c r="AD155" i="9"/>
  <c r="AD234" i="9"/>
  <c r="AD189" i="9"/>
  <c r="AD35" i="9"/>
  <c r="AD161" i="9"/>
  <c r="AD149" i="9"/>
  <c r="AD70" i="9"/>
  <c r="AD117" i="9"/>
  <c r="AD59" i="9"/>
  <c r="AD100" i="9"/>
  <c r="AD99" i="9"/>
  <c r="AD94" i="9"/>
  <c r="AD46" i="9"/>
  <c r="AD195" i="9"/>
  <c r="AD186" i="9"/>
  <c r="AD71" i="9"/>
  <c r="AD62" i="9"/>
  <c r="AD65" i="9"/>
  <c r="AD101" i="9"/>
  <c r="AD106" i="9"/>
  <c r="AD105" i="9"/>
  <c r="AD55" i="9"/>
  <c r="AD32" i="9"/>
  <c r="AD58" i="9"/>
  <c r="AD51" i="9"/>
  <c r="AD52" i="9"/>
  <c r="AD225" i="9"/>
  <c r="AD209" i="9"/>
  <c r="AD152" i="9"/>
  <c r="AD69" i="9"/>
  <c r="AD120" i="9"/>
  <c r="AD102" i="9"/>
  <c r="AD142" i="9"/>
  <c r="AD141" i="9"/>
  <c r="AD56" i="9"/>
  <c r="AD98" i="9"/>
  <c r="AD57" i="9"/>
  <c r="AD54" i="9"/>
  <c r="AD96" i="9"/>
  <c r="AD93" i="9"/>
  <c r="AD95" i="9"/>
  <c r="U180" i="9"/>
  <c r="Y180" i="9"/>
  <c r="AC180" i="9"/>
  <c r="AF39" i="9"/>
  <c r="AB39" i="9"/>
  <c r="X39" i="9"/>
  <c r="T39" i="9"/>
  <c r="AC19" i="9"/>
  <c r="Y19" i="9"/>
  <c r="U19" i="9"/>
  <c r="AE37" i="9"/>
  <c r="AA37" i="9"/>
  <c r="W37" i="9"/>
  <c r="S37" i="9"/>
  <c r="AD40" i="9"/>
  <c r="Z40" i="9"/>
  <c r="V40" i="9"/>
  <c r="AF20" i="9"/>
  <c r="AB20" i="9"/>
  <c r="X20" i="9"/>
  <c r="T20" i="9"/>
  <c r="AC38" i="9"/>
  <c r="Y38" i="9"/>
  <c r="U38" i="9"/>
  <c r="AF18" i="9"/>
  <c r="AB18" i="9"/>
  <c r="X18" i="9"/>
  <c r="T18" i="9"/>
  <c r="AC8" i="9"/>
  <c r="Y8" i="9"/>
  <c r="U8" i="9"/>
  <c r="AC17" i="9"/>
  <c r="Y17" i="9"/>
  <c r="U17" i="9"/>
  <c r="AE23" i="9"/>
  <c r="AA23" i="9"/>
  <c r="W23" i="9"/>
  <c r="S23" i="9"/>
  <c r="AE11" i="9"/>
  <c r="AA11" i="9"/>
  <c r="W11" i="9"/>
  <c r="S11" i="9"/>
  <c r="AC21" i="9"/>
  <c r="Y21" i="9"/>
  <c r="U21" i="9"/>
  <c r="AC24" i="9"/>
  <c r="Y24" i="9"/>
  <c r="U24" i="9"/>
  <c r="AF12" i="9"/>
  <c r="AB12" i="9"/>
  <c r="X12" i="9"/>
  <c r="T12" i="9"/>
  <c r="AD22" i="9"/>
  <c r="Z22" i="9"/>
  <c r="V22" i="9"/>
  <c r="AD10" i="9"/>
  <c r="Z10" i="9"/>
  <c r="V10" i="9"/>
  <c r="AD6" i="9"/>
  <c r="Z6" i="9"/>
  <c r="V6" i="9"/>
  <c r="AE9" i="9"/>
  <c r="AA9" i="9"/>
  <c r="W9" i="9"/>
  <c r="S9" i="9"/>
  <c r="AD27" i="9"/>
  <c r="Z27" i="9"/>
  <c r="V27" i="9"/>
  <c r="AE15" i="9"/>
  <c r="AA15" i="9"/>
  <c r="W15" i="9"/>
  <c r="S15" i="9"/>
  <c r="AD25" i="9"/>
  <c r="Z25" i="9"/>
  <c r="V25" i="9"/>
  <c r="AD28" i="9"/>
  <c r="Z28" i="9"/>
  <c r="V28" i="9"/>
  <c r="AD16" i="9"/>
  <c r="Z16" i="9"/>
  <c r="V16" i="9"/>
  <c r="AD26" i="9"/>
  <c r="Z26" i="9"/>
  <c r="V26" i="9"/>
  <c r="AC14" i="9"/>
  <c r="Y14" i="9"/>
  <c r="U14" i="9"/>
  <c r="AC7" i="9"/>
  <c r="Y7" i="9"/>
  <c r="U7" i="9"/>
  <c r="AC13" i="9"/>
  <c r="Y13" i="9"/>
  <c r="U13" i="9"/>
  <c r="AE129" i="9"/>
  <c r="AA129" i="9"/>
  <c r="W129" i="9"/>
  <c r="S129" i="9"/>
  <c r="AD79" i="9"/>
  <c r="Z79" i="9"/>
  <c r="V79" i="9"/>
  <c r="AE127" i="9"/>
  <c r="AA127" i="9"/>
  <c r="W127" i="9"/>
  <c r="S127" i="9"/>
  <c r="AE130" i="9"/>
  <c r="AA130" i="9"/>
  <c r="W130" i="9"/>
  <c r="S130" i="9"/>
  <c r="AE80" i="9"/>
  <c r="AA80" i="9"/>
  <c r="W80" i="9"/>
  <c r="S80" i="9"/>
  <c r="AE128" i="9"/>
  <c r="AA128" i="9"/>
  <c r="W128" i="9"/>
  <c r="S128" i="9"/>
  <c r="AE78" i="9"/>
  <c r="AA78" i="9"/>
  <c r="W78" i="9"/>
  <c r="S78" i="9"/>
  <c r="AC41" i="9"/>
  <c r="Y41" i="9"/>
  <c r="U41" i="9"/>
  <c r="AF77" i="9"/>
  <c r="AB77" i="9"/>
  <c r="X77" i="9"/>
  <c r="T77" i="9"/>
  <c r="AE83" i="9"/>
  <c r="AA83" i="9"/>
  <c r="W83" i="9"/>
  <c r="S83" i="9"/>
  <c r="AC44" i="9"/>
  <c r="Y44" i="9"/>
  <c r="U44" i="9"/>
  <c r="AD81" i="9"/>
  <c r="Z81" i="9"/>
  <c r="V81" i="9"/>
  <c r="AC84" i="9"/>
  <c r="Y84" i="9"/>
  <c r="U84" i="9"/>
  <c r="AF45" i="9"/>
  <c r="AB45" i="9"/>
  <c r="X45" i="9"/>
  <c r="T45" i="9"/>
  <c r="AF82" i="9"/>
  <c r="AB82" i="9"/>
  <c r="X82" i="9"/>
  <c r="T82" i="9"/>
  <c r="AC43" i="9"/>
  <c r="Y43" i="9"/>
  <c r="U43" i="9"/>
  <c r="AD29" i="9"/>
  <c r="Z29" i="9"/>
  <c r="V29" i="9"/>
  <c r="AC42" i="9"/>
  <c r="Y42" i="9"/>
  <c r="U42" i="9"/>
  <c r="AE91" i="9"/>
  <c r="AA91" i="9"/>
  <c r="W91" i="9"/>
  <c r="S91" i="9"/>
  <c r="AF49" i="9"/>
  <c r="AB49" i="9"/>
  <c r="X49" i="9"/>
  <c r="T49" i="9"/>
  <c r="AC89" i="9"/>
  <c r="Y89" i="9"/>
  <c r="U89" i="9"/>
  <c r="AC92" i="9"/>
  <c r="Y92" i="9"/>
  <c r="U92" i="9"/>
  <c r="AD50" i="9"/>
  <c r="Z50" i="9"/>
  <c r="V50" i="9"/>
  <c r="AE90" i="9"/>
  <c r="AA90" i="9"/>
  <c r="W90" i="9"/>
  <c r="S90" i="9"/>
  <c r="AF48" i="9"/>
  <c r="AB48" i="9"/>
  <c r="X48" i="9"/>
  <c r="T48" i="9"/>
  <c r="AD30" i="9"/>
  <c r="Z30" i="9"/>
  <c r="V30" i="9"/>
  <c r="AF47" i="9"/>
  <c r="AB47" i="9"/>
  <c r="X47" i="9"/>
  <c r="T47" i="9"/>
  <c r="AF137" i="9"/>
  <c r="AB137" i="9"/>
  <c r="X137" i="9"/>
  <c r="T137" i="9"/>
  <c r="AD87" i="9"/>
  <c r="Z87" i="9"/>
  <c r="V87" i="9"/>
  <c r="AD135" i="9"/>
  <c r="Z135" i="9"/>
  <c r="V135" i="9"/>
  <c r="AF138" i="9"/>
  <c r="AB138" i="9"/>
  <c r="X138" i="9"/>
  <c r="T138" i="9"/>
  <c r="AE88" i="9"/>
  <c r="AA88" i="9"/>
  <c r="W88" i="9"/>
  <c r="S88" i="9"/>
  <c r="AC136" i="9"/>
  <c r="Y136" i="9"/>
  <c r="U136" i="9"/>
  <c r="AF86" i="9"/>
  <c r="AB86" i="9"/>
  <c r="X86" i="9"/>
  <c r="T86" i="9"/>
  <c r="AA46" i="9"/>
  <c r="S46" i="9"/>
  <c r="AF85" i="9"/>
  <c r="X85" i="9"/>
  <c r="AA95" i="9"/>
  <c r="S95" i="9"/>
  <c r="AB53" i="9"/>
  <c r="T53" i="9"/>
  <c r="AE93" i="9"/>
  <c r="W93" i="9"/>
  <c r="Y96" i="9"/>
  <c r="AA54" i="9"/>
  <c r="S54" i="9"/>
  <c r="Y94" i="9"/>
  <c r="AF52" i="9"/>
  <c r="AD31" i="9"/>
  <c r="AB51" i="9"/>
  <c r="U99" i="9"/>
  <c r="S57" i="9"/>
  <c r="V97" i="9"/>
  <c r="U100" i="9"/>
  <c r="X58" i="9"/>
  <c r="AA98" i="9"/>
  <c r="S56" i="9"/>
  <c r="AF32" i="9"/>
  <c r="X55" i="9"/>
  <c r="V143" i="9"/>
  <c r="T105" i="9"/>
  <c r="W141" i="9"/>
  <c r="Z144" i="9"/>
  <c r="X106" i="9"/>
  <c r="AA142" i="9"/>
  <c r="S102" i="9"/>
  <c r="T101" i="9"/>
  <c r="AF65" i="9"/>
  <c r="AD109" i="9"/>
  <c r="V66" i="9"/>
  <c r="Z110" i="9"/>
  <c r="X62" i="9"/>
  <c r="V33" i="9"/>
  <c r="Z61" i="9"/>
  <c r="AD119" i="9"/>
  <c r="AB71" i="9"/>
  <c r="U117" i="9"/>
  <c r="S120" i="9"/>
  <c r="V118" i="9"/>
  <c r="AE235" i="9"/>
  <c r="AF190" i="9"/>
  <c r="V186" i="9"/>
  <c r="X185" i="9"/>
  <c r="W193" i="9"/>
  <c r="T196" i="9"/>
  <c r="Z161" i="9"/>
  <c r="AF179" i="9"/>
  <c r="R24" i="9"/>
  <c r="R10" i="9"/>
  <c r="R82" i="9"/>
  <c r="R29" i="9"/>
  <c r="R47" i="9"/>
  <c r="R87" i="9"/>
  <c r="R94" i="9"/>
  <c r="R99" i="9"/>
  <c r="R142" i="9"/>
  <c r="R101" i="9"/>
  <c r="R119" i="9"/>
  <c r="R73" i="9"/>
  <c r="R212" i="9"/>
  <c r="R201" i="9"/>
  <c r="R170" i="9"/>
  <c r="R225" i="9"/>
  <c r="R146" i="9"/>
  <c r="R64" i="9"/>
  <c r="R63" i="9"/>
  <c r="R75" i="9"/>
  <c r="R36" i="9"/>
  <c r="R188" i="9"/>
  <c r="R216" i="9"/>
  <c r="R214" i="9"/>
  <c r="R221" i="9"/>
  <c r="R232" i="9"/>
  <c r="R182" i="9"/>
  <c r="R19" i="9"/>
  <c r="R38" i="9"/>
  <c r="R18" i="9"/>
  <c r="R6" i="9"/>
  <c r="R15" i="9"/>
  <c r="R25" i="9"/>
  <c r="R7" i="9"/>
  <c r="R129" i="9"/>
  <c r="R79" i="9"/>
  <c r="R80" i="9"/>
  <c r="R44" i="9"/>
  <c r="R49" i="9"/>
  <c r="R30" i="9"/>
  <c r="R137" i="9"/>
  <c r="R135" i="9"/>
  <c r="R46" i="9"/>
  <c r="R95" i="9"/>
  <c r="R53" i="9"/>
  <c r="R54" i="9"/>
  <c r="R105" i="9"/>
  <c r="R141" i="9"/>
  <c r="R144" i="9"/>
  <c r="R102" i="9"/>
  <c r="R109" i="9"/>
  <c r="R117" i="9"/>
  <c r="R70" i="9"/>
  <c r="R233" i="9"/>
  <c r="R195" i="9"/>
  <c r="R210" i="9"/>
  <c r="R162" i="9"/>
  <c r="R243" i="9"/>
  <c r="R219" i="9"/>
  <c r="R171" i="9"/>
  <c r="R217" i="9"/>
  <c r="R227" i="9"/>
  <c r="R179" i="9"/>
  <c r="R178" i="9"/>
  <c r="R108" i="9"/>
  <c r="R103" i="9"/>
  <c r="R116" i="9"/>
  <c r="R76" i="9"/>
  <c r="R122" i="9"/>
  <c r="R72" i="9"/>
  <c r="R157" i="9"/>
  <c r="R215" i="9"/>
  <c r="R213" i="9"/>
  <c r="R248" i="9"/>
  <c r="R246" i="9"/>
  <c r="R175" i="9"/>
  <c r="R224" i="9"/>
  <c r="R222" i="9"/>
  <c r="R134" i="9"/>
  <c r="R183" i="9"/>
  <c r="R37" i="9"/>
  <c r="R17" i="9"/>
  <c r="R12" i="9"/>
  <c r="R26" i="9"/>
  <c r="R42" i="9"/>
  <c r="R90" i="9"/>
  <c r="R138" i="9"/>
  <c r="R96" i="9"/>
  <c r="R52" i="9"/>
  <c r="R56" i="9"/>
  <c r="R106" i="9"/>
  <c r="R59" i="9"/>
  <c r="R110" i="9"/>
  <c r="R193" i="9"/>
  <c r="R209" i="9"/>
  <c r="R165" i="9"/>
  <c r="R241" i="9"/>
  <c r="R139" i="9"/>
  <c r="R123" i="9"/>
  <c r="R121" i="9"/>
  <c r="R74" i="9"/>
  <c r="R168" i="9"/>
  <c r="R164" i="9"/>
  <c r="R208" i="9"/>
  <c r="R204" i="9"/>
  <c r="R172" i="9"/>
  <c r="R184" i="9"/>
  <c r="R230" i="9"/>
  <c r="R180" i="9"/>
  <c r="R28" i="9"/>
  <c r="R13" i="9"/>
  <c r="R128" i="9"/>
  <c r="R41" i="9"/>
  <c r="R77" i="9"/>
  <c r="R83" i="9"/>
  <c r="R43" i="9"/>
  <c r="R50" i="9"/>
  <c r="R48" i="9"/>
  <c r="R51" i="9"/>
  <c r="R32" i="9"/>
  <c r="R143" i="9"/>
  <c r="R65" i="9"/>
  <c r="R112" i="9"/>
  <c r="R33" i="9"/>
  <c r="R118" i="9"/>
  <c r="R189" i="9"/>
  <c r="R236" i="9"/>
  <c r="R190" i="9"/>
  <c r="R234" i="9"/>
  <c r="R186" i="9"/>
  <c r="R185" i="9"/>
  <c r="R196" i="9"/>
  <c r="R156" i="9"/>
  <c r="R161" i="9"/>
  <c r="R244" i="9"/>
  <c r="R242" i="9"/>
  <c r="R159" i="9"/>
  <c r="R173" i="9"/>
  <c r="R218" i="9"/>
  <c r="R169" i="9"/>
  <c r="R115" i="9"/>
  <c r="R113" i="9"/>
  <c r="R68" i="9"/>
  <c r="R114" i="9"/>
  <c r="R239" i="9"/>
  <c r="R191" i="9"/>
  <c r="R192" i="9"/>
  <c r="R199" i="9"/>
  <c r="R200" i="9"/>
  <c r="R158" i="9"/>
  <c r="R198" i="9"/>
  <c r="R154" i="9"/>
  <c r="R126" i="9"/>
  <c r="R167" i="9"/>
  <c r="R245" i="9"/>
  <c r="R206" i="9"/>
  <c r="R223" i="9"/>
  <c r="R174" i="9"/>
  <c r="R231" i="9"/>
  <c r="R40" i="9"/>
  <c r="R11" i="9"/>
  <c r="R14" i="9"/>
  <c r="R130" i="9"/>
  <c r="R92" i="9"/>
  <c r="R88" i="9"/>
  <c r="R120" i="9"/>
  <c r="R163" i="9"/>
  <c r="R133" i="9"/>
  <c r="R39" i="9"/>
  <c r="R20" i="9"/>
  <c r="R8" i="9"/>
  <c r="R23" i="9"/>
  <c r="R21" i="9"/>
  <c r="R22" i="9"/>
  <c r="R9" i="9"/>
  <c r="R27" i="9"/>
  <c r="R16" i="9"/>
  <c r="R127" i="9"/>
  <c r="R78" i="9"/>
  <c r="R81" i="9"/>
  <c r="R84" i="9"/>
  <c r="R45" i="9"/>
  <c r="R91" i="9"/>
  <c r="R89" i="9"/>
  <c r="R136" i="9"/>
  <c r="R86" i="9"/>
  <c r="R85" i="9"/>
  <c r="R93" i="9"/>
  <c r="R31" i="9"/>
  <c r="R57" i="9"/>
  <c r="R97" i="9"/>
  <c r="R100" i="9"/>
  <c r="R58" i="9"/>
  <c r="R98" i="9"/>
  <c r="R55" i="9"/>
  <c r="R111" i="9"/>
  <c r="R66" i="9"/>
  <c r="R62" i="9"/>
  <c r="R61" i="9"/>
  <c r="R71" i="9"/>
  <c r="R35" i="9"/>
  <c r="R69" i="9"/>
  <c r="R235" i="9"/>
  <c r="R149" i="9"/>
  <c r="R155" i="9"/>
  <c r="R194" i="9"/>
  <c r="R152" i="9"/>
  <c r="R125" i="9"/>
  <c r="R151" i="9"/>
  <c r="R211" i="9"/>
  <c r="R131" i="9"/>
  <c r="R203" i="9"/>
  <c r="R205" i="9"/>
  <c r="R202" i="9"/>
  <c r="R220" i="9"/>
  <c r="R228" i="9"/>
  <c r="R181" i="9"/>
  <c r="R226" i="9"/>
  <c r="R177" i="9"/>
  <c r="R147" i="9"/>
  <c r="R107" i="9"/>
  <c r="R145" i="9"/>
  <c r="R148" i="9"/>
  <c r="R104" i="9"/>
  <c r="R60" i="9"/>
  <c r="R67" i="9"/>
  <c r="R34" i="9"/>
  <c r="R124" i="9"/>
  <c r="R237" i="9"/>
  <c r="R240" i="9"/>
  <c r="R238" i="9"/>
  <c r="R150" i="9"/>
  <c r="R187" i="9"/>
  <c r="R197" i="9"/>
  <c r="R153" i="9"/>
  <c r="R166" i="9"/>
  <c r="R132" i="9"/>
  <c r="R247" i="9"/>
  <c r="R207" i="9"/>
  <c r="R160" i="9"/>
  <c r="R176" i="9"/>
  <c r="R229" i="9"/>
  <c r="Q11" i="9"/>
  <c r="Q21" i="9"/>
  <c r="Q10" i="9"/>
  <c r="Q28" i="9"/>
  <c r="Q26" i="9"/>
  <c r="Q13" i="9"/>
  <c r="Q129" i="9"/>
  <c r="Q127" i="9"/>
  <c r="Q80" i="9"/>
  <c r="Q78" i="9"/>
  <c r="Q41" i="9"/>
  <c r="Q82" i="9"/>
  <c r="Q89" i="9"/>
  <c r="Q90" i="9"/>
  <c r="Q137" i="9"/>
  <c r="Q87" i="9"/>
  <c r="Q85" i="9"/>
  <c r="Q54" i="9"/>
  <c r="Q94" i="9"/>
  <c r="Q99" i="9"/>
  <c r="Q57" i="9"/>
  <c r="Q56" i="9"/>
  <c r="Q55" i="9"/>
  <c r="Q143" i="9"/>
  <c r="Q105" i="9"/>
  <c r="Q102" i="9"/>
  <c r="Q59" i="9"/>
  <c r="Q66" i="9"/>
  <c r="Q61" i="9"/>
  <c r="Q35" i="9"/>
  <c r="Q236" i="9"/>
  <c r="Q149" i="9"/>
  <c r="Q185" i="9"/>
  <c r="Q195" i="9"/>
  <c r="Q193" i="9"/>
  <c r="Q194" i="9"/>
  <c r="Q163" i="9"/>
  <c r="Q210" i="9"/>
  <c r="Q131" i="9"/>
  <c r="Q161" i="9"/>
  <c r="Q243" i="9"/>
  <c r="Q241" i="9"/>
  <c r="Q205" i="9"/>
  <c r="Q242" i="9"/>
  <c r="Q67" i="9"/>
  <c r="Q113" i="9"/>
  <c r="Q116" i="9"/>
  <c r="Q72" i="9"/>
  <c r="Q237" i="9"/>
  <c r="Q188" i="9"/>
  <c r="Q150" i="9"/>
  <c r="Q197" i="9"/>
  <c r="Q200" i="9"/>
  <c r="Q153" i="9"/>
  <c r="Q167" i="9"/>
  <c r="Q213" i="9"/>
  <c r="Q216" i="9"/>
  <c r="Q164" i="9"/>
  <c r="Q247" i="9"/>
  <c r="Q206" i="9"/>
  <c r="Q204" i="9"/>
  <c r="Q224" i="9"/>
  <c r="Q229" i="9"/>
  <c r="Q19" i="9"/>
  <c r="Q37" i="9"/>
  <c r="Q38" i="9"/>
  <c r="Q8" i="9"/>
  <c r="Q9" i="9"/>
  <c r="Q15" i="9"/>
  <c r="Q14" i="9"/>
  <c r="Q79" i="9"/>
  <c r="Q77" i="9"/>
  <c r="Q81" i="9"/>
  <c r="Q29" i="9"/>
  <c r="Q49" i="9"/>
  <c r="Q50" i="9"/>
  <c r="Q46" i="9"/>
  <c r="Q93" i="9"/>
  <c r="Q52" i="9"/>
  <c r="Q31" i="9"/>
  <c r="Q51" i="9"/>
  <c r="Q97" i="9"/>
  <c r="Q141" i="9"/>
  <c r="Q101" i="9"/>
  <c r="Q111" i="9"/>
  <c r="Q65" i="9"/>
  <c r="Q109" i="9"/>
  <c r="Q117" i="9"/>
  <c r="Q120" i="9"/>
  <c r="Q118" i="9"/>
  <c r="Q70" i="9"/>
  <c r="Q69" i="9"/>
  <c r="Q190" i="9"/>
  <c r="Q152" i="9"/>
  <c r="Q209" i="9"/>
  <c r="Q162" i="9"/>
  <c r="Q201" i="9"/>
  <c r="Q220" i="9"/>
  <c r="Q173" i="9"/>
  <c r="Q170" i="9"/>
  <c r="Q169" i="9"/>
  <c r="Q227" i="9"/>
  <c r="Q178" i="9"/>
  <c r="Q139" i="9"/>
  <c r="Q177" i="9"/>
  <c r="Q108" i="9"/>
  <c r="Q146" i="9"/>
  <c r="Q104" i="9"/>
  <c r="Q103" i="9"/>
  <c r="Q64" i="9"/>
  <c r="Q34" i="9"/>
  <c r="Q76" i="9"/>
  <c r="Q240" i="9"/>
  <c r="Q192" i="9"/>
  <c r="Q187" i="9"/>
  <c r="Q199" i="9"/>
  <c r="Q157" i="9"/>
  <c r="Q158" i="9"/>
  <c r="Q168" i="9"/>
  <c r="Q207" i="9"/>
  <c r="Q245" i="9"/>
  <c r="Q248" i="9"/>
  <c r="Q208" i="9"/>
  <c r="Q222" i="9"/>
  <c r="Q231" i="9"/>
  <c r="Q183" i="9"/>
  <c r="Q39" i="9"/>
  <c r="Q40" i="9"/>
  <c r="Q20" i="9"/>
  <c r="Q18" i="9"/>
  <c r="Q23" i="9"/>
  <c r="Q24" i="9"/>
  <c r="Q22" i="9"/>
  <c r="Q6" i="9"/>
  <c r="Q27" i="9"/>
  <c r="Q25" i="9"/>
  <c r="Q16" i="9"/>
  <c r="Q130" i="9"/>
  <c r="Q128" i="9"/>
  <c r="Q83" i="9"/>
  <c r="Q44" i="9"/>
  <c r="Q84" i="9"/>
  <c r="Q42" i="9"/>
  <c r="Q91" i="9"/>
  <c r="Q92" i="9"/>
  <c r="Q30" i="9"/>
  <c r="Q47" i="9"/>
  <c r="Q135" i="9"/>
  <c r="Q138" i="9"/>
  <c r="Q136" i="9"/>
  <c r="Q100" i="9"/>
  <c r="Q144" i="9"/>
  <c r="Q106" i="9"/>
  <c r="Q110" i="9"/>
  <c r="Q62" i="9"/>
  <c r="Q33" i="9"/>
  <c r="Q119" i="9"/>
  <c r="Q71" i="9"/>
  <c r="Q73" i="9"/>
  <c r="Q235" i="9"/>
  <c r="Q189" i="9"/>
  <c r="Q233" i="9"/>
  <c r="Q234" i="9"/>
  <c r="Q125" i="9"/>
  <c r="Q212" i="9"/>
  <c r="Q202" i="9"/>
  <c r="Q159" i="9"/>
  <c r="Q218" i="9"/>
  <c r="Q133" i="9"/>
  <c r="Q179" i="9"/>
  <c r="Q225" i="9"/>
  <c r="Q228" i="9"/>
  <c r="Q147" i="9"/>
  <c r="Q60" i="9"/>
  <c r="Q68" i="9"/>
  <c r="Q124" i="9"/>
  <c r="Q122" i="9"/>
  <c r="Q74" i="9"/>
  <c r="Q239" i="9"/>
  <c r="Q198" i="9"/>
  <c r="Q214" i="9"/>
  <c r="Q166" i="9"/>
  <c r="Q160" i="9"/>
  <c r="Q175" i="9"/>
  <c r="Q221" i="9"/>
  <c r="Q134" i="9"/>
  <c r="Q172" i="9"/>
  <c r="Q232" i="9"/>
  <c r="P40" i="9"/>
  <c r="P11" i="9"/>
  <c r="P24" i="9"/>
  <c r="P6" i="9"/>
  <c r="P9" i="9"/>
  <c r="P25" i="9"/>
  <c r="P26" i="9"/>
  <c r="P79" i="9"/>
  <c r="P127" i="9"/>
  <c r="P128" i="9"/>
  <c r="P77" i="9"/>
  <c r="P84" i="9"/>
  <c r="P82" i="9"/>
  <c r="P43" i="9"/>
  <c r="P42" i="9"/>
  <c r="P92" i="9"/>
  <c r="P50" i="9"/>
  <c r="P90" i="9"/>
  <c r="P48" i="9"/>
  <c r="P30" i="9"/>
  <c r="P137" i="9"/>
  <c r="P135" i="9"/>
  <c r="P86" i="9"/>
  <c r="P96" i="9"/>
  <c r="P52" i="9"/>
  <c r="P97" i="9"/>
  <c r="P58" i="9"/>
  <c r="P55" i="9"/>
  <c r="P141" i="9"/>
  <c r="P142" i="9"/>
  <c r="P101" i="9"/>
  <c r="P119" i="9"/>
  <c r="P73" i="9"/>
  <c r="P118" i="9"/>
  <c r="P235" i="9"/>
  <c r="P234" i="9"/>
  <c r="P149" i="9"/>
  <c r="P193" i="9"/>
  <c r="P196" i="9"/>
  <c r="P152" i="9"/>
  <c r="P151" i="9"/>
  <c r="P209" i="9"/>
  <c r="P165" i="9"/>
  <c r="P162" i="9"/>
  <c r="P131" i="9"/>
  <c r="P241" i="9"/>
  <c r="P244" i="9"/>
  <c r="P218" i="9"/>
  <c r="P170" i="9"/>
  <c r="P179" i="9"/>
  <c r="P181" i="9"/>
  <c r="P178" i="9"/>
  <c r="P147" i="9"/>
  <c r="P60" i="9"/>
  <c r="P103" i="9"/>
  <c r="P67" i="9"/>
  <c r="P122" i="9"/>
  <c r="P72" i="9"/>
  <c r="P191" i="9"/>
  <c r="P240" i="9"/>
  <c r="P238" i="9"/>
  <c r="P187" i="9"/>
  <c r="P158" i="9"/>
  <c r="P154" i="9"/>
  <c r="P167" i="9"/>
  <c r="P168" i="9"/>
  <c r="P132" i="9"/>
  <c r="P207" i="9"/>
  <c r="P204" i="9"/>
  <c r="P223" i="9"/>
  <c r="P175" i="9"/>
  <c r="P224" i="9"/>
  <c r="P176" i="9"/>
  <c r="P180" i="9"/>
  <c r="P20" i="9"/>
  <c r="P38" i="9"/>
  <c r="P17" i="9"/>
  <c r="P23" i="9"/>
  <c r="P21" i="9"/>
  <c r="P10" i="9"/>
  <c r="P16" i="9"/>
  <c r="P7" i="9"/>
  <c r="P80" i="9"/>
  <c r="P91" i="9"/>
  <c r="P49" i="9"/>
  <c r="P89" i="9"/>
  <c r="P47" i="9"/>
  <c r="P87" i="9"/>
  <c r="P138" i="9"/>
  <c r="P93" i="9"/>
  <c r="P31" i="9"/>
  <c r="P98" i="9"/>
  <c r="P143" i="9"/>
  <c r="P111" i="9"/>
  <c r="P112" i="9"/>
  <c r="P110" i="9"/>
  <c r="P61" i="9"/>
  <c r="P71" i="9"/>
  <c r="P117" i="9"/>
  <c r="P70" i="9"/>
  <c r="P35" i="9"/>
  <c r="P189" i="9"/>
  <c r="P236" i="9"/>
  <c r="P185" i="9"/>
  <c r="P156" i="9"/>
  <c r="P211" i="9"/>
  <c r="P161" i="9"/>
  <c r="P202" i="9"/>
  <c r="P219" i="9"/>
  <c r="P220" i="9"/>
  <c r="P225" i="9"/>
  <c r="P226" i="9"/>
  <c r="P139" i="9"/>
  <c r="P108" i="9"/>
  <c r="P113" i="9"/>
  <c r="P68" i="9"/>
  <c r="P64" i="9"/>
  <c r="P63" i="9"/>
  <c r="P74" i="9"/>
  <c r="P192" i="9"/>
  <c r="P199" i="9"/>
  <c r="P126" i="9"/>
  <c r="P213" i="9"/>
  <c r="P245" i="9"/>
  <c r="P246" i="9"/>
  <c r="P160" i="9"/>
  <c r="P221" i="9"/>
  <c r="P174" i="9"/>
  <c r="P134" i="9"/>
  <c r="P232" i="9"/>
  <c r="P39" i="9"/>
  <c r="P19" i="9"/>
  <c r="P8" i="9"/>
  <c r="P12" i="9"/>
  <c r="P22" i="9"/>
  <c r="P27" i="9"/>
  <c r="P15" i="9"/>
  <c r="P14" i="9"/>
  <c r="P83" i="9"/>
  <c r="P81" i="9"/>
  <c r="P45" i="9"/>
  <c r="P136" i="9"/>
  <c r="P85" i="9"/>
  <c r="P95" i="9"/>
  <c r="P54" i="9"/>
  <c r="P51" i="9"/>
  <c r="P99" i="9"/>
  <c r="P100" i="9"/>
  <c r="P32" i="9"/>
  <c r="P105" i="9"/>
  <c r="P144" i="9"/>
  <c r="P102" i="9"/>
  <c r="P65" i="9"/>
  <c r="P62" i="9"/>
  <c r="P120" i="9"/>
  <c r="P233" i="9"/>
  <c r="P186" i="9"/>
  <c r="P195" i="9"/>
  <c r="P155" i="9"/>
  <c r="P125" i="9"/>
  <c r="P212" i="9"/>
  <c r="P210" i="9"/>
  <c r="P243" i="9"/>
  <c r="P203" i="9"/>
  <c r="P205" i="9"/>
  <c r="P159" i="9"/>
  <c r="P201" i="9"/>
  <c r="P171" i="9"/>
  <c r="P173" i="9"/>
  <c r="P133" i="9"/>
  <c r="P169" i="9"/>
  <c r="P228" i="9"/>
  <c r="P177" i="9"/>
  <c r="P107" i="9"/>
  <c r="P146" i="9"/>
  <c r="P116" i="9"/>
  <c r="P34" i="9"/>
  <c r="P123" i="9"/>
  <c r="P124" i="9"/>
  <c r="P76" i="9"/>
  <c r="P237" i="9"/>
  <c r="P188" i="9"/>
  <c r="P157" i="9"/>
  <c r="P197" i="9"/>
  <c r="P198" i="9"/>
  <c r="P215" i="9"/>
  <c r="P216" i="9"/>
  <c r="P214" i="9"/>
  <c r="P164" i="9"/>
  <c r="P248" i="9"/>
  <c r="P172" i="9"/>
  <c r="P231" i="9"/>
  <c r="P229" i="9"/>
  <c r="O39" i="9"/>
  <c r="O40" i="9"/>
  <c r="O21" i="9"/>
  <c r="O24" i="9"/>
  <c r="O16" i="9"/>
  <c r="O26" i="9"/>
  <c r="O79" i="9"/>
  <c r="O80" i="9"/>
  <c r="O128" i="9"/>
  <c r="O78" i="9"/>
  <c r="O45" i="9"/>
  <c r="O42" i="9"/>
  <c r="O47" i="9"/>
  <c r="O137" i="9"/>
  <c r="O138" i="9"/>
  <c r="O53" i="9"/>
  <c r="O52" i="9"/>
  <c r="O51" i="9"/>
  <c r="O97" i="9"/>
  <c r="O55" i="9"/>
  <c r="O105" i="9"/>
  <c r="O142" i="9"/>
  <c r="O59" i="9"/>
  <c r="O111" i="9"/>
  <c r="O109" i="9"/>
  <c r="O110" i="9"/>
  <c r="O33" i="9"/>
  <c r="O71" i="9"/>
  <c r="O70" i="9"/>
  <c r="O69" i="9"/>
  <c r="O189" i="9"/>
  <c r="O149" i="9"/>
  <c r="O195" i="9"/>
  <c r="O193" i="9"/>
  <c r="O151" i="9"/>
  <c r="O165" i="9"/>
  <c r="O161" i="9"/>
  <c r="O171" i="9"/>
  <c r="O227" i="9"/>
  <c r="O225" i="9"/>
  <c r="O139" i="9"/>
  <c r="O107" i="9"/>
  <c r="O104" i="9"/>
  <c r="O67" i="9"/>
  <c r="O116" i="9"/>
  <c r="O68" i="9"/>
  <c r="O123" i="9"/>
  <c r="O191" i="9"/>
  <c r="O187" i="9"/>
  <c r="O157" i="9"/>
  <c r="O158" i="9"/>
  <c r="O167" i="9"/>
  <c r="O216" i="9"/>
  <c r="O132" i="9"/>
  <c r="O247" i="9"/>
  <c r="O245" i="9"/>
  <c r="O208" i="9"/>
  <c r="O160" i="9"/>
  <c r="O204" i="9"/>
  <c r="O221" i="9"/>
  <c r="O224" i="9"/>
  <c r="O174" i="9"/>
  <c r="O183" i="9"/>
  <c r="O229" i="9"/>
  <c r="O232" i="9"/>
  <c r="O180" i="9"/>
  <c r="O19" i="9"/>
  <c r="O18" i="9"/>
  <c r="O8" i="9"/>
  <c r="O17" i="9"/>
  <c r="O27" i="9"/>
  <c r="O25" i="9"/>
  <c r="O28" i="9"/>
  <c r="O13" i="9"/>
  <c r="O127" i="9"/>
  <c r="O130" i="9"/>
  <c r="O41" i="9"/>
  <c r="O83" i="9"/>
  <c r="O84" i="9"/>
  <c r="O86" i="9"/>
  <c r="O46" i="9"/>
  <c r="O85" i="9"/>
  <c r="O54" i="9"/>
  <c r="O99" i="9"/>
  <c r="O58" i="9"/>
  <c r="O56" i="9"/>
  <c r="O32" i="9"/>
  <c r="O144" i="9"/>
  <c r="O66" i="9"/>
  <c r="O117" i="9"/>
  <c r="O73" i="9"/>
  <c r="O35" i="9"/>
  <c r="O190" i="9"/>
  <c r="O186" i="9"/>
  <c r="O155" i="9"/>
  <c r="O196" i="9"/>
  <c r="O194" i="9"/>
  <c r="O125" i="9"/>
  <c r="O163" i="9"/>
  <c r="O212" i="9"/>
  <c r="O162" i="9"/>
  <c r="O241" i="9"/>
  <c r="O205" i="9"/>
  <c r="O202" i="9"/>
  <c r="O220" i="9"/>
  <c r="O218" i="9"/>
  <c r="O133" i="9"/>
  <c r="O181" i="9"/>
  <c r="O147" i="9"/>
  <c r="O108" i="9"/>
  <c r="O64" i="9"/>
  <c r="O122" i="9"/>
  <c r="O36" i="9"/>
  <c r="O240" i="9"/>
  <c r="O188" i="9"/>
  <c r="O197" i="9"/>
  <c r="O154" i="9"/>
  <c r="O153" i="9"/>
  <c r="O215" i="9"/>
  <c r="O214" i="9"/>
  <c r="O206" i="9"/>
  <c r="O223" i="9"/>
  <c r="O176" i="9"/>
  <c r="O222" i="9"/>
  <c r="O134" i="9"/>
  <c r="O20" i="9"/>
  <c r="O23" i="9"/>
  <c r="O11" i="9"/>
  <c r="O10" i="9"/>
  <c r="O6" i="9"/>
  <c r="O15" i="9"/>
  <c r="O7" i="9"/>
  <c r="O129" i="9"/>
  <c r="O81" i="9"/>
  <c r="O29" i="9"/>
  <c r="O91" i="9"/>
  <c r="O92" i="9"/>
  <c r="O87" i="9"/>
  <c r="O135" i="9"/>
  <c r="O136" i="9"/>
  <c r="O95" i="9"/>
  <c r="O96" i="9"/>
  <c r="O31" i="9"/>
  <c r="O143" i="9"/>
  <c r="O101" i="9"/>
  <c r="O65" i="9"/>
  <c r="O62" i="9"/>
  <c r="O119" i="9"/>
  <c r="O118" i="9"/>
  <c r="O235" i="9"/>
  <c r="O233" i="9"/>
  <c r="O236" i="9"/>
  <c r="O185" i="9"/>
  <c r="O211" i="9"/>
  <c r="O131" i="9"/>
  <c r="O243" i="9"/>
  <c r="O244" i="9"/>
  <c r="O219" i="9"/>
  <c r="O217" i="9"/>
  <c r="O170" i="9"/>
  <c r="O169" i="9"/>
  <c r="O179" i="9"/>
  <c r="O228" i="9"/>
  <c r="O178" i="9"/>
  <c r="O177" i="9"/>
  <c r="O145" i="9"/>
  <c r="O60" i="9"/>
  <c r="O115" i="9"/>
  <c r="O113" i="9"/>
  <c r="O63" i="9"/>
  <c r="O75" i="9"/>
  <c r="O124" i="9"/>
  <c r="O239" i="9"/>
  <c r="O238" i="9"/>
  <c r="O199" i="9"/>
  <c r="O213" i="9"/>
  <c r="O207" i="9"/>
  <c r="O248" i="9"/>
  <c r="O175" i="9"/>
  <c r="N19" i="9"/>
  <c r="N40" i="9"/>
  <c r="N38" i="9"/>
  <c r="N23" i="9"/>
  <c r="N21" i="9"/>
  <c r="N9" i="9"/>
  <c r="N15" i="9"/>
  <c r="N25" i="9"/>
  <c r="N129" i="9"/>
  <c r="N127" i="9"/>
  <c r="N41" i="9"/>
  <c r="N44" i="9"/>
  <c r="N81" i="9"/>
  <c r="N84" i="9"/>
  <c r="N45" i="9"/>
  <c r="N82" i="9"/>
  <c r="N42" i="9"/>
  <c r="N49" i="9"/>
  <c r="N47" i="9"/>
  <c r="N87" i="9"/>
  <c r="N138" i="9"/>
  <c r="N88" i="9"/>
  <c r="N136" i="9"/>
  <c r="N86" i="9"/>
  <c r="N95" i="9"/>
  <c r="N51" i="9"/>
  <c r="N98" i="9"/>
  <c r="N105" i="9"/>
  <c r="N141" i="9"/>
  <c r="N59" i="9"/>
  <c r="N65" i="9"/>
  <c r="N62" i="9"/>
  <c r="N73" i="9"/>
  <c r="N189" i="9"/>
  <c r="N186" i="9"/>
  <c r="N149" i="9"/>
  <c r="N196" i="9"/>
  <c r="N152" i="9"/>
  <c r="N209" i="9"/>
  <c r="N243" i="9"/>
  <c r="N202" i="9"/>
  <c r="N217" i="9"/>
  <c r="N220" i="9"/>
  <c r="N169" i="9"/>
  <c r="N225" i="9"/>
  <c r="N139" i="9"/>
  <c r="N146" i="9"/>
  <c r="N113" i="9"/>
  <c r="N34" i="9"/>
  <c r="N63" i="9"/>
  <c r="N76" i="9"/>
  <c r="N36" i="9"/>
  <c r="N240" i="9"/>
  <c r="N157" i="9"/>
  <c r="N126" i="9"/>
  <c r="N216" i="9"/>
  <c r="N168" i="9"/>
  <c r="N247" i="9"/>
  <c r="N248" i="9"/>
  <c r="N223" i="9"/>
  <c r="N176" i="9"/>
  <c r="N183" i="9"/>
  <c r="N11" i="9"/>
  <c r="N24" i="9"/>
  <c r="N12" i="9"/>
  <c r="N28" i="9"/>
  <c r="N16" i="9"/>
  <c r="N130" i="9"/>
  <c r="N80" i="9"/>
  <c r="N83" i="9"/>
  <c r="N43" i="9"/>
  <c r="N29" i="9"/>
  <c r="N89" i="9"/>
  <c r="N92" i="9"/>
  <c r="N137" i="9"/>
  <c r="N135" i="9"/>
  <c r="N46" i="9"/>
  <c r="N94" i="9"/>
  <c r="N31" i="9"/>
  <c r="N57" i="9"/>
  <c r="N58" i="9"/>
  <c r="N143" i="9"/>
  <c r="N106" i="9"/>
  <c r="N111" i="9"/>
  <c r="N66" i="9"/>
  <c r="N110" i="9"/>
  <c r="N71" i="9"/>
  <c r="N120" i="9"/>
  <c r="N70" i="9"/>
  <c r="N235" i="9"/>
  <c r="N234" i="9"/>
  <c r="N195" i="9"/>
  <c r="N194" i="9"/>
  <c r="N211" i="9"/>
  <c r="N163" i="9"/>
  <c r="N162" i="9"/>
  <c r="N161" i="9"/>
  <c r="N241" i="9"/>
  <c r="N242" i="9"/>
  <c r="N171" i="9"/>
  <c r="N218" i="9"/>
  <c r="N179" i="9"/>
  <c r="N226" i="9"/>
  <c r="N178" i="9"/>
  <c r="N145" i="9"/>
  <c r="N108" i="9"/>
  <c r="N60" i="9"/>
  <c r="N67" i="9"/>
  <c r="N64" i="9"/>
  <c r="N75" i="9"/>
  <c r="N74" i="9"/>
  <c r="N191" i="9"/>
  <c r="N237" i="9"/>
  <c r="N150" i="9"/>
  <c r="N199" i="9"/>
  <c r="N200" i="9"/>
  <c r="N154" i="9"/>
  <c r="N213" i="9"/>
  <c r="N166" i="9"/>
  <c r="N245" i="9"/>
  <c r="N206" i="9"/>
  <c r="N160" i="9"/>
  <c r="N221" i="9"/>
  <c r="N222" i="9"/>
  <c r="N174" i="9"/>
  <c r="N172" i="9"/>
  <c r="N229" i="9"/>
  <c r="N180" i="9"/>
  <c r="N22" i="9"/>
  <c r="N10" i="9"/>
  <c r="N26" i="9"/>
  <c r="N14" i="9"/>
  <c r="N7" i="9"/>
  <c r="N13" i="9"/>
  <c r="N128" i="9"/>
  <c r="N85" i="9"/>
  <c r="N93" i="9"/>
  <c r="N96" i="9"/>
  <c r="N54" i="9"/>
  <c r="N99" i="9"/>
  <c r="N100" i="9"/>
  <c r="N55" i="9"/>
  <c r="N102" i="9"/>
  <c r="N112" i="9"/>
  <c r="N61" i="9"/>
  <c r="N119" i="9"/>
  <c r="N118" i="9"/>
  <c r="N69" i="9"/>
  <c r="N190" i="9"/>
  <c r="N193" i="9"/>
  <c r="N151" i="9"/>
  <c r="N165" i="9"/>
  <c r="N210" i="9"/>
  <c r="N203" i="9"/>
  <c r="N205" i="9"/>
  <c r="N219" i="9"/>
  <c r="N133" i="9"/>
  <c r="N181" i="9"/>
  <c r="N147" i="9"/>
  <c r="N107" i="9"/>
  <c r="N104" i="9"/>
  <c r="N115" i="9"/>
  <c r="N114" i="9"/>
  <c r="N124" i="9"/>
  <c r="N239" i="9"/>
  <c r="N238" i="9"/>
  <c r="N188" i="9"/>
  <c r="N197" i="9"/>
  <c r="N198" i="9"/>
  <c r="N167" i="9"/>
  <c r="N164" i="9"/>
  <c r="N246" i="9"/>
  <c r="N204" i="9"/>
  <c r="N175" i="9"/>
  <c r="N224" i="9"/>
  <c r="N231" i="9"/>
  <c r="N232" i="9"/>
  <c r="N184" i="9"/>
  <c r="M19" i="9"/>
  <c r="M37" i="9"/>
  <c r="M38" i="9"/>
  <c r="M18" i="9"/>
  <c r="M23" i="9"/>
  <c r="M24" i="9"/>
  <c r="M6" i="9"/>
  <c r="M15" i="9"/>
  <c r="M26" i="9"/>
  <c r="M130" i="9"/>
  <c r="M78" i="9"/>
  <c r="M43" i="9"/>
  <c r="M89" i="9"/>
  <c r="M50" i="9"/>
  <c r="M47" i="9"/>
  <c r="M135" i="9"/>
  <c r="M138" i="9"/>
  <c r="M46" i="9"/>
  <c r="M31" i="9"/>
  <c r="M51" i="9"/>
  <c r="M142" i="9"/>
  <c r="M102" i="9"/>
  <c r="M120" i="9"/>
  <c r="M73" i="9"/>
  <c r="M155" i="9"/>
  <c r="M193" i="9"/>
  <c r="M161" i="9"/>
  <c r="M243" i="9"/>
  <c r="M170" i="9"/>
  <c r="M133" i="9"/>
  <c r="M108" i="9"/>
  <c r="M146" i="9"/>
  <c r="M121" i="9"/>
  <c r="M124" i="9"/>
  <c r="M199" i="9"/>
  <c r="M157" i="9"/>
  <c r="M132" i="9"/>
  <c r="M164" i="9"/>
  <c r="M204" i="9"/>
  <c r="M172" i="9"/>
  <c r="M232" i="9"/>
  <c r="M8" i="9"/>
  <c r="M12" i="9"/>
  <c r="M25" i="9"/>
  <c r="M14" i="9"/>
  <c r="M129" i="9"/>
  <c r="M79" i="9"/>
  <c r="M80" i="9"/>
  <c r="M83" i="9"/>
  <c r="M44" i="9"/>
  <c r="M29" i="9"/>
  <c r="M42" i="9"/>
  <c r="M91" i="9"/>
  <c r="M92" i="9"/>
  <c r="M90" i="9"/>
  <c r="M88" i="9"/>
  <c r="M95" i="9"/>
  <c r="M53" i="9"/>
  <c r="M93" i="9"/>
  <c r="M52" i="9"/>
  <c r="M97" i="9"/>
  <c r="M100" i="9"/>
  <c r="M58" i="9"/>
  <c r="M98" i="9"/>
  <c r="M56" i="9"/>
  <c r="M106" i="9"/>
  <c r="M111" i="9"/>
  <c r="M65" i="9"/>
  <c r="M109" i="9"/>
  <c r="M112" i="9"/>
  <c r="M66" i="9"/>
  <c r="M117" i="9"/>
  <c r="M35" i="9"/>
  <c r="M69" i="9"/>
  <c r="M235" i="9"/>
  <c r="M189" i="9"/>
  <c r="M233" i="9"/>
  <c r="M195" i="9"/>
  <c r="M194" i="9"/>
  <c r="M152" i="9"/>
  <c r="M125" i="9"/>
  <c r="M151" i="9"/>
  <c r="M211" i="9"/>
  <c r="M131" i="9"/>
  <c r="M244" i="9"/>
  <c r="M205" i="9"/>
  <c r="M242" i="9"/>
  <c r="M202" i="9"/>
  <c r="M159" i="9"/>
  <c r="M218" i="9"/>
  <c r="M179" i="9"/>
  <c r="M225" i="9"/>
  <c r="M228" i="9"/>
  <c r="M181" i="9"/>
  <c r="M226" i="9"/>
  <c r="M148" i="9"/>
  <c r="M103" i="9"/>
  <c r="M115" i="9"/>
  <c r="M67" i="9"/>
  <c r="M113" i="9"/>
  <c r="M116" i="9"/>
  <c r="M75" i="9"/>
  <c r="M74" i="9"/>
  <c r="M36" i="9"/>
  <c r="M72" i="9"/>
  <c r="M239" i="9"/>
  <c r="M191" i="9"/>
  <c r="M187" i="9"/>
  <c r="M158" i="9"/>
  <c r="M198" i="9"/>
  <c r="M154" i="9"/>
  <c r="M126" i="9"/>
  <c r="M153" i="9"/>
  <c r="M166" i="9"/>
  <c r="M245" i="9"/>
  <c r="M248" i="9"/>
  <c r="M208" i="9"/>
  <c r="M246" i="9"/>
  <c r="M206" i="9"/>
  <c r="M175" i="9"/>
  <c r="M221" i="9"/>
  <c r="M176" i="9"/>
  <c r="M134" i="9"/>
  <c r="M183" i="9"/>
  <c r="M184" i="9"/>
  <c r="M39" i="9"/>
  <c r="M40" i="9"/>
  <c r="M20" i="9"/>
  <c r="M17" i="9"/>
  <c r="M11" i="9"/>
  <c r="M21" i="9"/>
  <c r="M9" i="9"/>
  <c r="M27" i="9"/>
  <c r="M7" i="9"/>
  <c r="M41" i="9"/>
  <c r="M77" i="9"/>
  <c r="M81" i="9"/>
  <c r="M48" i="9"/>
  <c r="M137" i="9"/>
  <c r="M87" i="9"/>
  <c r="M136" i="9"/>
  <c r="M85" i="9"/>
  <c r="M96" i="9"/>
  <c r="M94" i="9"/>
  <c r="M57" i="9"/>
  <c r="M32" i="9"/>
  <c r="M55" i="9"/>
  <c r="M143" i="9"/>
  <c r="M105" i="9"/>
  <c r="M144" i="9"/>
  <c r="M101" i="9"/>
  <c r="M110" i="9"/>
  <c r="M62" i="9"/>
  <c r="M33" i="9"/>
  <c r="M61" i="9"/>
  <c r="M71" i="9"/>
  <c r="M70" i="9"/>
  <c r="M236" i="9"/>
  <c r="M190" i="9"/>
  <c r="M234" i="9"/>
  <c r="M186" i="9"/>
  <c r="M185" i="9"/>
  <c r="M156" i="9"/>
  <c r="M163" i="9"/>
  <c r="M209" i="9"/>
  <c r="M212" i="9"/>
  <c r="M165" i="9"/>
  <c r="M162" i="9"/>
  <c r="M241" i="9"/>
  <c r="M201" i="9"/>
  <c r="M219" i="9"/>
  <c r="M171" i="9"/>
  <c r="M217" i="9"/>
  <c r="M173" i="9"/>
  <c r="M227" i="9"/>
  <c r="M178" i="9"/>
  <c r="M139" i="9"/>
  <c r="M177" i="9"/>
  <c r="M147" i="9"/>
  <c r="M145" i="9"/>
  <c r="M60" i="9"/>
  <c r="M68" i="9"/>
  <c r="M114" i="9"/>
  <c r="M64" i="9"/>
  <c r="M34" i="9"/>
  <c r="M123" i="9"/>
  <c r="M122" i="9"/>
  <c r="M237" i="9"/>
  <c r="M240" i="9"/>
  <c r="M192" i="9"/>
  <c r="M238" i="9"/>
  <c r="M150" i="9"/>
  <c r="M200" i="9"/>
  <c r="M215" i="9"/>
  <c r="M167" i="9"/>
  <c r="M213" i="9"/>
  <c r="M216" i="9"/>
  <c r="M214" i="9"/>
  <c r="M207" i="9"/>
  <c r="M160" i="9"/>
  <c r="M231" i="9"/>
  <c r="L40" i="9"/>
  <c r="L38" i="9"/>
  <c r="L17" i="9"/>
  <c r="L24" i="9"/>
  <c r="L22" i="9"/>
  <c r="L15" i="9"/>
  <c r="L28" i="9"/>
  <c r="L14" i="9"/>
  <c r="L127" i="9"/>
  <c r="L84" i="9"/>
  <c r="L29" i="9"/>
  <c r="L49" i="9"/>
  <c r="L48" i="9"/>
  <c r="L135" i="9"/>
  <c r="L136" i="9"/>
  <c r="L54" i="9"/>
  <c r="L94" i="9"/>
  <c r="L52" i="9"/>
  <c r="L31" i="9"/>
  <c r="L141" i="9"/>
  <c r="L144" i="9"/>
  <c r="L106" i="9"/>
  <c r="L142" i="9"/>
  <c r="L119" i="9"/>
  <c r="L71" i="9"/>
  <c r="L117" i="9"/>
  <c r="L120" i="9"/>
  <c r="L149" i="9"/>
  <c r="L185" i="9"/>
  <c r="L195" i="9"/>
  <c r="L155" i="9"/>
  <c r="L210" i="9"/>
  <c r="L162" i="9"/>
  <c r="L131" i="9"/>
  <c r="L161" i="9"/>
  <c r="L220" i="9"/>
  <c r="L173" i="9"/>
  <c r="L218" i="9"/>
  <c r="L170" i="9"/>
  <c r="L107" i="9"/>
  <c r="L145" i="9"/>
  <c r="L148" i="9"/>
  <c r="L108" i="9"/>
  <c r="L63" i="9"/>
  <c r="L123" i="9"/>
  <c r="L75" i="9"/>
  <c r="L121" i="9"/>
  <c r="L188" i="9"/>
  <c r="L150" i="9"/>
  <c r="L187" i="9"/>
  <c r="L199" i="9"/>
  <c r="L168" i="9"/>
  <c r="L214" i="9"/>
  <c r="L166" i="9"/>
  <c r="L132" i="9"/>
  <c r="L175" i="9"/>
  <c r="L224" i="9"/>
  <c r="L134" i="9"/>
  <c r="L172" i="9"/>
  <c r="L229" i="9"/>
  <c r="L19" i="9"/>
  <c r="L20" i="9"/>
  <c r="L18" i="9"/>
  <c r="L11" i="9"/>
  <c r="L10" i="9"/>
  <c r="L9" i="9"/>
  <c r="L16" i="9"/>
  <c r="L129" i="9"/>
  <c r="L128" i="9"/>
  <c r="L41" i="9"/>
  <c r="L83" i="9"/>
  <c r="L45" i="9"/>
  <c r="L42" i="9"/>
  <c r="L137" i="9"/>
  <c r="L138" i="9"/>
  <c r="L85" i="9"/>
  <c r="L95" i="9"/>
  <c r="L51" i="9"/>
  <c r="L99" i="9"/>
  <c r="L57" i="9"/>
  <c r="L97" i="9"/>
  <c r="L102" i="9"/>
  <c r="L59" i="9"/>
  <c r="L101" i="9"/>
  <c r="L111" i="9"/>
  <c r="L73" i="9"/>
  <c r="L118" i="9"/>
  <c r="L70" i="9"/>
  <c r="L35" i="9"/>
  <c r="L193" i="9"/>
  <c r="L196" i="9"/>
  <c r="L156" i="9"/>
  <c r="L194" i="9"/>
  <c r="L243" i="9"/>
  <c r="L203" i="9"/>
  <c r="L241" i="9"/>
  <c r="L244" i="9"/>
  <c r="L133" i="9"/>
  <c r="L169" i="9"/>
  <c r="L227" i="9"/>
  <c r="L179" i="9"/>
  <c r="L146" i="9"/>
  <c r="L104" i="9"/>
  <c r="L60" i="9"/>
  <c r="L103" i="9"/>
  <c r="L124" i="9"/>
  <c r="L76" i="9"/>
  <c r="L122" i="9"/>
  <c r="L74" i="9"/>
  <c r="L157" i="9"/>
  <c r="L197" i="9"/>
  <c r="L200" i="9"/>
  <c r="L158" i="9"/>
  <c r="L164" i="9"/>
  <c r="L247" i="9"/>
  <c r="L207" i="9"/>
  <c r="L245" i="9"/>
  <c r="L204" i="9"/>
  <c r="L223" i="9"/>
  <c r="L221" i="9"/>
  <c r="L222" i="9"/>
  <c r="L230" i="9"/>
  <c r="K19" i="9"/>
  <c r="K40" i="9"/>
  <c r="K11" i="9"/>
  <c r="K24" i="9"/>
  <c r="K9" i="9"/>
  <c r="K15" i="9"/>
  <c r="K130" i="9"/>
  <c r="K128" i="9"/>
  <c r="K44" i="9"/>
  <c r="K84" i="9"/>
  <c r="K82" i="9"/>
  <c r="K29" i="9"/>
  <c r="K91" i="9"/>
  <c r="K90" i="9"/>
  <c r="K53" i="9"/>
  <c r="K54" i="9"/>
  <c r="K51" i="9"/>
  <c r="K100" i="9"/>
  <c r="K32" i="9"/>
  <c r="K141" i="9"/>
  <c r="K102" i="9"/>
  <c r="K65" i="9"/>
  <c r="K110" i="9"/>
  <c r="K119" i="9"/>
  <c r="K73" i="9"/>
  <c r="K69" i="9"/>
  <c r="K236" i="9"/>
  <c r="K149" i="9"/>
  <c r="K193" i="9"/>
  <c r="K152" i="9"/>
  <c r="K163" i="9"/>
  <c r="K210" i="9"/>
  <c r="K243" i="9"/>
  <c r="K205" i="9"/>
  <c r="K201" i="9"/>
  <c r="K220" i="9"/>
  <c r="K133" i="9"/>
  <c r="K225" i="9"/>
  <c r="K178" i="9"/>
  <c r="K107" i="9"/>
  <c r="K146" i="9"/>
  <c r="K115" i="9"/>
  <c r="K68" i="9"/>
  <c r="K63" i="9"/>
  <c r="K124" i="9"/>
  <c r="K36" i="9"/>
  <c r="K237" i="9"/>
  <c r="K188" i="9"/>
  <c r="K157" i="9"/>
  <c r="K198" i="9"/>
  <c r="K215" i="9"/>
  <c r="K168" i="9"/>
  <c r="K164" i="9"/>
  <c r="K248" i="9"/>
  <c r="K160" i="9"/>
  <c r="K221" i="9"/>
  <c r="K224" i="9"/>
  <c r="K176" i="9"/>
  <c r="K174" i="9"/>
  <c r="K232" i="9"/>
  <c r="K39" i="9"/>
  <c r="K38" i="9"/>
  <c r="K8" i="9"/>
  <c r="K22" i="9"/>
  <c r="K6" i="9"/>
  <c r="K28" i="9"/>
  <c r="K26" i="9"/>
  <c r="K7" i="9"/>
  <c r="K129" i="9"/>
  <c r="K127" i="9"/>
  <c r="K41" i="9"/>
  <c r="K89" i="9"/>
  <c r="K30" i="9"/>
  <c r="K137" i="9"/>
  <c r="K135" i="9"/>
  <c r="K88" i="9"/>
  <c r="K86" i="9"/>
  <c r="K85" i="9"/>
  <c r="K93" i="9"/>
  <c r="K94" i="9"/>
  <c r="K99" i="9"/>
  <c r="K58" i="9"/>
  <c r="K55" i="9"/>
  <c r="K144" i="9"/>
  <c r="K59" i="9"/>
  <c r="K109" i="9"/>
  <c r="K62" i="9"/>
  <c r="K71" i="9"/>
  <c r="K118" i="9"/>
  <c r="K235" i="9"/>
  <c r="K190" i="9"/>
  <c r="K185" i="9"/>
  <c r="K196" i="9"/>
  <c r="K125" i="9"/>
  <c r="K209" i="9"/>
  <c r="K162" i="9"/>
  <c r="K203" i="9"/>
  <c r="K242" i="9"/>
  <c r="K219" i="9"/>
  <c r="K173" i="9"/>
  <c r="K169" i="9"/>
  <c r="K228" i="9"/>
  <c r="K139" i="9"/>
  <c r="K145" i="9"/>
  <c r="K104" i="9"/>
  <c r="K67" i="9"/>
  <c r="K114" i="9"/>
  <c r="K123" i="9"/>
  <c r="K76" i="9"/>
  <c r="K72" i="9"/>
  <c r="K240" i="9"/>
  <c r="K150" i="9"/>
  <c r="K197" i="9"/>
  <c r="K154" i="9"/>
  <c r="K167" i="9"/>
  <c r="K214" i="9"/>
  <c r="K247" i="9"/>
  <c r="K208" i="9"/>
  <c r="K229" i="9"/>
  <c r="K230" i="9"/>
  <c r="K83" i="9"/>
  <c r="K81" i="9"/>
  <c r="K45" i="9"/>
  <c r="K43" i="9"/>
  <c r="K42" i="9"/>
  <c r="K50" i="9"/>
  <c r="K48" i="9"/>
  <c r="K95" i="9"/>
  <c r="K52" i="9"/>
  <c r="K57" i="9"/>
  <c r="K98" i="9"/>
  <c r="K143" i="9"/>
  <c r="K106" i="9"/>
  <c r="K101" i="9"/>
  <c r="K112" i="9"/>
  <c r="K33" i="9"/>
  <c r="K117" i="9"/>
  <c r="K70" i="9"/>
  <c r="K189" i="9"/>
  <c r="K234" i="9"/>
  <c r="K195" i="9"/>
  <c r="K156" i="9"/>
  <c r="K151" i="9"/>
  <c r="K212" i="9"/>
  <c r="K131" i="9"/>
  <c r="K241" i="9"/>
  <c r="K202" i="9"/>
  <c r="K171" i="9"/>
  <c r="K218" i="9"/>
  <c r="K227" i="9"/>
  <c r="K181" i="9"/>
  <c r="K177" i="9"/>
  <c r="K148" i="9"/>
  <c r="K60" i="9"/>
  <c r="K113" i="9"/>
  <c r="K64" i="9"/>
  <c r="K75" i="9"/>
  <c r="K122" i="9"/>
  <c r="K239" i="9"/>
  <c r="K192" i="9"/>
  <c r="K187" i="9"/>
  <c r="K200" i="9"/>
  <c r="K126" i="9"/>
  <c r="K213" i="9"/>
  <c r="K166" i="9"/>
  <c r="K207" i="9"/>
  <c r="K246" i="9"/>
  <c r="K175" i="9"/>
  <c r="K231" i="9"/>
  <c r="K183" i="9"/>
  <c r="K184" i="9"/>
  <c r="J140" i="9"/>
  <c r="J182" i="9"/>
  <c r="J134" i="9"/>
  <c r="J174" i="9"/>
  <c r="J221" i="9"/>
  <c r="J204" i="9"/>
  <c r="J160" i="9"/>
  <c r="J246" i="9"/>
  <c r="J248" i="9"/>
  <c r="J207" i="9"/>
  <c r="J164" i="9"/>
  <c r="J166" i="9"/>
  <c r="J168" i="9"/>
  <c r="J213" i="9"/>
  <c r="J215" i="9"/>
  <c r="J126" i="9"/>
  <c r="J198" i="9"/>
  <c r="J200" i="9"/>
  <c r="J157" i="9"/>
  <c r="J187" i="9"/>
  <c r="J188" i="9"/>
  <c r="J192" i="9"/>
  <c r="J237" i="9"/>
  <c r="J239" i="9"/>
  <c r="J36" i="9"/>
  <c r="J122" i="9"/>
  <c r="J124" i="9"/>
  <c r="J75" i="9"/>
  <c r="J63" i="9"/>
  <c r="J64" i="9"/>
  <c r="J68" i="9"/>
  <c r="J113" i="9"/>
  <c r="J115" i="9"/>
  <c r="J60" i="9"/>
  <c r="J146" i="9"/>
  <c r="J148" i="9"/>
  <c r="J107" i="9"/>
  <c r="J177" i="9"/>
  <c r="J178" i="9"/>
  <c r="J181" i="9"/>
  <c r="J225" i="9"/>
  <c r="J227" i="9"/>
  <c r="J133" i="9"/>
  <c r="J218" i="9"/>
  <c r="J220" i="9"/>
  <c r="J171" i="9"/>
  <c r="J201" i="9"/>
  <c r="J202" i="9"/>
  <c r="J205" i="9"/>
  <c r="J241" i="9"/>
  <c r="J243" i="9"/>
  <c r="J131" i="9"/>
  <c r="J210" i="9"/>
  <c r="J212" i="9"/>
  <c r="J163" i="9"/>
  <c r="J151" i="9"/>
  <c r="J152" i="9"/>
  <c r="J156" i="9"/>
  <c r="J193" i="9"/>
  <c r="J195" i="9"/>
  <c r="J149" i="9"/>
  <c r="J234" i="9"/>
  <c r="J236" i="9"/>
  <c r="J189" i="9"/>
  <c r="J69" i="9"/>
  <c r="J70" i="9"/>
  <c r="J73" i="9"/>
  <c r="J117" i="9"/>
  <c r="J119" i="9"/>
  <c r="J33" i="9"/>
  <c r="J110" i="9"/>
  <c r="J112" i="9"/>
  <c r="J65" i="9"/>
  <c r="J101" i="9"/>
  <c r="J102" i="9"/>
  <c r="J106" i="9"/>
  <c r="J141" i="9"/>
  <c r="J143" i="9"/>
  <c r="J32" i="9"/>
  <c r="J98" i="9"/>
  <c r="J100" i="9"/>
  <c r="J57" i="9"/>
  <c r="J51" i="9"/>
  <c r="J52" i="9"/>
  <c r="J54" i="9"/>
  <c r="J88" i="9"/>
  <c r="J137" i="9"/>
  <c r="J90" i="9"/>
  <c r="J49" i="9"/>
  <c r="J43" i="9"/>
  <c r="J81" i="9"/>
  <c r="J41" i="9"/>
  <c r="J130" i="9"/>
  <c r="J13" i="9"/>
  <c r="J16" i="9"/>
  <c r="J27" i="9"/>
  <c r="J232" i="9"/>
  <c r="J229" i="9"/>
  <c r="J183" i="9"/>
  <c r="J222" i="9"/>
  <c r="J176" i="9"/>
  <c r="J206" i="9"/>
  <c r="J208" i="9"/>
  <c r="J245" i="9"/>
  <c r="J247" i="9"/>
  <c r="J132" i="9"/>
  <c r="J214" i="9"/>
  <c r="J216" i="9"/>
  <c r="J167" i="9"/>
  <c r="J153" i="9"/>
  <c r="J154" i="9"/>
  <c r="J158" i="9"/>
  <c r="J197" i="9"/>
  <c r="J199" i="9"/>
  <c r="J150" i="9"/>
  <c r="J238" i="9"/>
  <c r="J240" i="9"/>
  <c r="J191" i="9"/>
  <c r="J72" i="9"/>
  <c r="J74" i="9"/>
  <c r="J76" i="9"/>
  <c r="J121" i="9"/>
  <c r="J123" i="9"/>
  <c r="J34" i="9"/>
  <c r="J114" i="9"/>
  <c r="J116" i="9"/>
  <c r="J67" i="9"/>
  <c r="J103" i="9"/>
  <c r="J104" i="9"/>
  <c r="J108" i="9"/>
  <c r="J145" i="9"/>
  <c r="J147" i="9"/>
  <c r="J139" i="9"/>
  <c r="J226" i="9"/>
  <c r="J228" i="9"/>
  <c r="J179" i="9"/>
  <c r="J169" i="9"/>
  <c r="J170" i="9"/>
  <c r="J173" i="9"/>
  <c r="J217" i="9"/>
  <c r="J219" i="9"/>
  <c r="J159" i="9"/>
  <c r="J242" i="9"/>
  <c r="J244" i="9"/>
  <c r="J203" i="9"/>
  <c r="J161" i="9"/>
  <c r="J162" i="9"/>
  <c r="J165" i="9"/>
  <c r="J209" i="9"/>
  <c r="J211" i="9"/>
  <c r="J125" i="9"/>
  <c r="J194" i="9"/>
  <c r="J196" i="9"/>
  <c r="J155" i="9"/>
  <c r="J185" i="9"/>
  <c r="J186" i="9"/>
  <c r="J190" i="9"/>
  <c r="J233" i="9"/>
  <c r="J235" i="9"/>
  <c r="J35" i="9"/>
  <c r="J118" i="9"/>
  <c r="J120" i="9"/>
  <c r="J71" i="9"/>
  <c r="J61" i="9"/>
  <c r="J62" i="9"/>
  <c r="J66" i="9"/>
  <c r="J109" i="9"/>
  <c r="J111" i="9"/>
  <c r="J59" i="9"/>
  <c r="J142" i="9"/>
  <c r="J144" i="9"/>
  <c r="J105" i="9"/>
  <c r="J55" i="9"/>
  <c r="J56" i="9"/>
  <c r="J58" i="9"/>
  <c r="J97" i="9"/>
  <c r="J99" i="9"/>
  <c r="J31" i="9"/>
  <c r="J94" i="9"/>
  <c r="J96" i="9"/>
  <c r="J40" i="9"/>
  <c r="J8" i="9"/>
  <c r="J21" i="9"/>
  <c r="J10" i="9"/>
  <c r="J7" i="9"/>
  <c r="J79" i="9"/>
  <c r="J80" i="9"/>
  <c r="J82" i="9"/>
  <c r="J42" i="9"/>
  <c r="J89" i="9"/>
  <c r="J138" i="9"/>
  <c r="J86" i="9"/>
  <c r="J224" i="9"/>
  <c r="J172" i="9"/>
  <c r="J231" i="9"/>
  <c r="J37" i="9"/>
  <c r="J18" i="9"/>
  <c r="J11" i="9"/>
  <c r="J22" i="9"/>
  <c r="J28" i="9"/>
  <c r="J14" i="9"/>
  <c r="J129" i="9"/>
  <c r="J44" i="9"/>
  <c r="J45" i="9"/>
  <c r="J29" i="9"/>
  <c r="J47" i="9"/>
  <c r="J135" i="9"/>
  <c r="J136" i="9"/>
  <c r="J85" i="9"/>
  <c r="J53" i="9"/>
  <c r="J223" i="9"/>
  <c r="J175" i="9"/>
  <c r="J184" i="9"/>
  <c r="J230" i="9"/>
  <c r="J180" i="9"/>
  <c r="J19" i="9"/>
  <c r="J38" i="9"/>
  <c r="J23" i="9"/>
  <c r="J12" i="9"/>
  <c r="J9" i="9"/>
  <c r="J25" i="9"/>
  <c r="J26" i="9"/>
  <c r="J78" i="9"/>
  <c r="J83" i="9"/>
  <c r="J84" i="9"/>
  <c r="J50" i="9"/>
  <c r="J30" i="9"/>
  <c r="J87" i="9"/>
  <c r="I144" i="9"/>
  <c r="I185" i="9"/>
  <c r="I162" i="9"/>
  <c r="I150" i="9"/>
  <c r="I99" i="9"/>
  <c r="I59" i="9"/>
  <c r="I118" i="9"/>
  <c r="I196" i="9"/>
  <c r="I203" i="9"/>
  <c r="I169" i="9"/>
  <c r="I104" i="9"/>
  <c r="I76" i="9"/>
  <c r="I197" i="9"/>
  <c r="I247" i="9"/>
  <c r="I229" i="9"/>
  <c r="I94" i="9"/>
  <c r="I71" i="9"/>
  <c r="I214" i="9"/>
  <c r="I39" i="9"/>
  <c r="I37" i="9"/>
  <c r="I20" i="9"/>
  <c r="I38" i="9"/>
  <c r="I8" i="9"/>
  <c r="I23" i="9"/>
  <c r="I24" i="9"/>
  <c r="I12" i="9"/>
  <c r="I22" i="9"/>
  <c r="I10" i="9"/>
  <c r="I6" i="9"/>
  <c r="I9" i="9"/>
  <c r="I27" i="9"/>
  <c r="I15" i="9"/>
  <c r="I58" i="9"/>
  <c r="I109" i="9"/>
  <c r="I235" i="9"/>
  <c r="I125" i="9"/>
  <c r="I242" i="9"/>
  <c r="I228" i="9"/>
  <c r="I67" i="9"/>
  <c r="I72" i="9"/>
  <c r="I154" i="9"/>
  <c r="I208" i="9"/>
  <c r="I140" i="9"/>
  <c r="I183" i="9"/>
  <c r="I224" i="9"/>
  <c r="I246" i="9"/>
  <c r="I207" i="9"/>
  <c r="I166" i="9"/>
  <c r="I213" i="9"/>
  <c r="I126" i="9"/>
  <c r="I200" i="9"/>
  <c r="I187" i="9"/>
  <c r="I192" i="9"/>
  <c r="I239" i="9"/>
  <c r="I122" i="9"/>
  <c r="I75" i="9"/>
  <c r="I64" i="9"/>
  <c r="I113" i="9"/>
  <c r="I60" i="9"/>
  <c r="I148" i="9"/>
  <c r="I177" i="9"/>
  <c r="I181" i="9"/>
  <c r="I227" i="9"/>
  <c r="I218" i="9"/>
  <c r="I171" i="9"/>
  <c r="I202" i="9"/>
  <c r="I241" i="9"/>
  <c r="I131" i="9"/>
  <c r="I212" i="9"/>
  <c r="I151" i="9"/>
  <c r="I156" i="9"/>
  <c r="I195" i="9"/>
  <c r="I234" i="9"/>
  <c r="I189" i="9"/>
  <c r="I70" i="9"/>
  <c r="I117" i="9"/>
  <c r="I33" i="9"/>
  <c r="I112" i="9"/>
  <c r="I101" i="9"/>
  <c r="I106" i="9"/>
  <c r="I143" i="9"/>
  <c r="I98" i="9"/>
  <c r="I57" i="9"/>
  <c r="I52" i="9"/>
  <c r="I93" i="9"/>
  <c r="I46" i="9"/>
  <c r="I86" i="9"/>
  <c r="I136" i="9"/>
  <c r="I88" i="9"/>
  <c r="I138" i="9"/>
  <c r="I135" i="9"/>
  <c r="I87" i="9"/>
  <c r="I137" i="9"/>
  <c r="I47" i="9"/>
  <c r="I30" i="9"/>
  <c r="I48" i="9"/>
  <c r="I90" i="9"/>
  <c r="I50" i="9"/>
  <c r="I92" i="9"/>
  <c r="I89" i="9"/>
  <c r="I49" i="9"/>
  <c r="I91" i="9"/>
  <c r="I42" i="9"/>
  <c r="I29" i="9"/>
  <c r="I43" i="9"/>
  <c r="I82" i="9"/>
  <c r="I45" i="9"/>
  <c r="I84" i="9"/>
  <c r="I81" i="9"/>
  <c r="I44" i="9"/>
  <c r="I83" i="9"/>
  <c r="I77" i="9"/>
  <c r="I41" i="9"/>
  <c r="I78" i="9"/>
  <c r="I128" i="9"/>
  <c r="I80" i="9"/>
  <c r="I130" i="9"/>
  <c r="I127" i="9"/>
  <c r="I79" i="9"/>
  <c r="I129" i="9"/>
  <c r="I13" i="9"/>
  <c r="I7" i="9"/>
  <c r="I14" i="9"/>
  <c r="I26" i="9"/>
  <c r="I16" i="9"/>
  <c r="I28" i="9"/>
  <c r="I25" i="9"/>
  <c r="I182" i="9"/>
  <c r="I230" i="9"/>
  <c r="I134" i="9"/>
  <c r="I222" i="9"/>
  <c r="I204" i="9"/>
  <c r="I206" i="9"/>
  <c r="I245" i="9"/>
  <c r="I132" i="9"/>
  <c r="I216" i="9"/>
  <c r="I153" i="9"/>
  <c r="I158" i="9"/>
  <c r="I199" i="9"/>
  <c r="I238" i="9"/>
  <c r="I191" i="9"/>
  <c r="I74" i="9"/>
  <c r="I121" i="9"/>
  <c r="I34" i="9"/>
  <c r="I116" i="9"/>
  <c r="I103" i="9"/>
  <c r="I108" i="9"/>
  <c r="I147" i="9"/>
  <c r="I226" i="9"/>
  <c r="I179" i="9"/>
  <c r="I170" i="9"/>
  <c r="I217" i="9"/>
  <c r="I159" i="9"/>
  <c r="I244" i="9"/>
  <c r="I161" i="9"/>
  <c r="I165" i="9"/>
  <c r="I211" i="9"/>
  <c r="I194" i="9"/>
  <c r="I155" i="9"/>
  <c r="I186" i="9"/>
  <c r="I233" i="9"/>
  <c r="I35" i="9"/>
  <c r="I120" i="9"/>
  <c r="I61" i="9"/>
  <c r="I66" i="9"/>
  <c r="I111" i="9"/>
  <c r="I142" i="9"/>
  <c r="I105" i="9"/>
  <c r="I56" i="9"/>
  <c r="I97" i="9"/>
  <c r="I31" i="9"/>
  <c r="I96" i="9"/>
  <c r="I85" i="9"/>
  <c r="I184" i="9"/>
  <c r="I232" i="9"/>
  <c r="I231" i="9"/>
  <c r="I174" i="9"/>
  <c r="I176" i="9"/>
  <c r="I221" i="9"/>
  <c r="I175" i="9"/>
  <c r="I160" i="9"/>
  <c r="I248" i="9"/>
  <c r="I164" i="9"/>
  <c r="I168" i="9"/>
  <c r="I215" i="9"/>
  <c r="I198" i="9"/>
  <c r="I157" i="9"/>
  <c r="I188" i="9"/>
  <c r="I237" i="9"/>
  <c r="I36" i="9"/>
  <c r="I124" i="9"/>
  <c r="I63" i="9"/>
  <c r="I68" i="9"/>
  <c r="I115" i="9"/>
  <c r="I146" i="9"/>
  <c r="I107" i="9"/>
  <c r="I178" i="9"/>
  <c r="I225" i="9"/>
  <c r="I133" i="9"/>
  <c r="I220" i="9"/>
  <c r="I201" i="9"/>
  <c r="I205" i="9"/>
  <c r="I243" i="9"/>
  <c r="I210" i="9"/>
  <c r="I163" i="9"/>
  <c r="I152" i="9"/>
  <c r="I193" i="9"/>
  <c r="I149" i="9"/>
  <c r="I236" i="9"/>
  <c r="I69" i="9"/>
  <c r="I73" i="9"/>
  <c r="I119" i="9"/>
  <c r="I110" i="9"/>
  <c r="I65" i="9"/>
  <c r="I102" i="9"/>
  <c r="I141" i="9"/>
  <c r="I32" i="9"/>
  <c r="I100" i="9"/>
  <c r="I51" i="9"/>
  <c r="I54" i="9"/>
  <c r="I95" i="9"/>
  <c r="I173" i="9"/>
  <c r="I145" i="9"/>
  <c r="I123" i="9"/>
  <c r="I19" i="9"/>
  <c r="I40" i="9"/>
  <c r="I18" i="9"/>
  <c r="I17" i="9"/>
  <c r="I11" i="9"/>
  <c r="I21" i="9"/>
  <c r="I180" i="9"/>
  <c r="I53" i="9"/>
  <c r="I55" i="9"/>
  <c r="I62" i="9"/>
  <c r="I190" i="9"/>
  <c r="I209" i="9"/>
  <c r="I219" i="9"/>
  <c r="I139" i="9"/>
  <c r="I114" i="9"/>
  <c r="I240" i="9"/>
  <c r="I167" i="9"/>
  <c r="I172" i="9"/>
  <c r="H140" i="9"/>
  <c r="H229" i="9"/>
  <c r="H174" i="9"/>
  <c r="H222" i="9"/>
  <c r="H204" i="9"/>
  <c r="H184" i="9"/>
  <c r="H231" i="9"/>
  <c r="H224" i="9"/>
  <c r="H223" i="9"/>
  <c r="H182" i="9"/>
  <c r="H232" i="9"/>
  <c r="H183" i="9"/>
  <c r="H134" i="9"/>
  <c r="H176" i="9"/>
  <c r="H160" i="9"/>
  <c r="H206" i="9"/>
  <c r="H246" i="9"/>
  <c r="H208" i="9"/>
  <c r="H248" i="9"/>
  <c r="H245" i="9"/>
  <c r="H207" i="9"/>
  <c r="H247" i="9"/>
  <c r="H164" i="9"/>
  <c r="H132" i="9"/>
  <c r="H166" i="9"/>
  <c r="H214" i="9"/>
  <c r="H168" i="9"/>
  <c r="H216" i="9"/>
  <c r="H213" i="9"/>
  <c r="H167" i="9"/>
  <c r="H215" i="9"/>
  <c r="H153" i="9"/>
  <c r="H126" i="9"/>
  <c r="H154" i="9"/>
  <c r="H198" i="9"/>
  <c r="H158" i="9"/>
  <c r="H200" i="9"/>
  <c r="H197" i="9"/>
  <c r="H157" i="9"/>
  <c r="H199" i="9"/>
  <c r="H187" i="9"/>
  <c r="H150" i="9"/>
  <c r="H188" i="9"/>
  <c r="H238" i="9"/>
  <c r="H192" i="9"/>
  <c r="H240" i="9"/>
  <c r="H237" i="9"/>
  <c r="H191" i="9"/>
  <c r="H239" i="9"/>
  <c r="H72" i="9"/>
  <c r="H36" i="9"/>
  <c r="H74" i="9"/>
  <c r="H122" i="9"/>
  <c r="H76" i="9"/>
  <c r="H124" i="9"/>
  <c r="H121" i="9"/>
  <c r="H75" i="9"/>
  <c r="H123" i="9"/>
  <c r="H63" i="9"/>
  <c r="H34" i="9"/>
  <c r="H64" i="9"/>
  <c r="H114" i="9"/>
  <c r="H68" i="9"/>
  <c r="H116" i="9"/>
  <c r="H113" i="9"/>
  <c r="H67" i="9"/>
  <c r="H115" i="9"/>
  <c r="H103" i="9"/>
  <c r="H60" i="9"/>
  <c r="H104" i="9"/>
  <c r="H146" i="9"/>
  <c r="H108" i="9"/>
  <c r="H148" i="9"/>
  <c r="H145" i="9"/>
  <c r="H107" i="9"/>
  <c r="H147" i="9"/>
  <c r="H177" i="9"/>
  <c r="H139" i="9"/>
  <c r="H178" i="9"/>
  <c r="H226" i="9"/>
  <c r="H181" i="9"/>
  <c r="H228" i="9"/>
  <c r="H225" i="9"/>
  <c r="H179" i="9"/>
  <c r="H227" i="9"/>
  <c r="H169" i="9"/>
  <c r="H133" i="9"/>
  <c r="H170" i="9"/>
  <c r="H218" i="9"/>
  <c r="H173" i="9"/>
  <c r="H220" i="9"/>
  <c r="H217" i="9"/>
  <c r="H171" i="9"/>
  <c r="H219" i="9"/>
  <c r="H180" i="9"/>
  <c r="H230" i="9"/>
  <c r="H46" i="9"/>
  <c r="H85" i="9"/>
  <c r="H95" i="9"/>
  <c r="H53" i="9"/>
  <c r="H93" i="9"/>
  <c r="H96" i="9"/>
  <c r="H54" i="9"/>
  <c r="H94" i="9"/>
  <c r="H52" i="9"/>
  <c r="H31" i="9"/>
  <c r="H51" i="9"/>
  <c r="H99" i="9"/>
  <c r="H57" i="9"/>
  <c r="H97" i="9"/>
  <c r="H100" i="9"/>
  <c r="H58" i="9"/>
  <c r="H98" i="9"/>
  <c r="H56" i="9"/>
  <c r="H32" i="9"/>
  <c r="H55" i="9"/>
  <c r="H143" i="9"/>
  <c r="H105" i="9"/>
  <c r="H141" i="9"/>
  <c r="H144" i="9"/>
  <c r="H106" i="9"/>
  <c r="H142" i="9"/>
  <c r="H102" i="9"/>
  <c r="H59" i="9"/>
  <c r="H101" i="9"/>
  <c r="H111" i="9"/>
  <c r="H65" i="9"/>
  <c r="H109" i="9"/>
  <c r="H112" i="9"/>
  <c r="H66" i="9"/>
  <c r="H110" i="9"/>
  <c r="H62" i="9"/>
  <c r="H33" i="9"/>
  <c r="H61" i="9"/>
  <c r="H119" i="9"/>
  <c r="H71" i="9"/>
  <c r="H117" i="9"/>
  <c r="H120" i="9"/>
  <c r="H73" i="9"/>
  <c r="H118" i="9"/>
  <c r="H70" i="9"/>
  <c r="H35" i="9"/>
  <c r="H69" i="9"/>
  <c r="H235" i="9"/>
  <c r="H189" i="9"/>
  <c r="H233" i="9"/>
  <c r="H236" i="9"/>
  <c r="H190" i="9"/>
  <c r="H234" i="9"/>
  <c r="H186" i="9"/>
  <c r="H149" i="9"/>
  <c r="H185" i="9"/>
  <c r="H195" i="9"/>
  <c r="H155" i="9"/>
  <c r="H193" i="9"/>
  <c r="H196" i="9"/>
  <c r="H156" i="9"/>
  <c r="H194" i="9"/>
  <c r="H152" i="9"/>
  <c r="H125" i="9"/>
  <c r="H151" i="9"/>
  <c r="H211" i="9"/>
  <c r="H163" i="9"/>
  <c r="H209" i="9"/>
  <c r="H212" i="9"/>
  <c r="H165" i="9"/>
  <c r="H210" i="9"/>
  <c r="H162" i="9"/>
  <c r="H131" i="9"/>
  <c r="H161" i="9"/>
  <c r="H243" i="9"/>
  <c r="H203" i="9"/>
  <c r="H241" i="9"/>
  <c r="H244" i="9"/>
  <c r="H205" i="9"/>
  <c r="H242" i="9"/>
  <c r="H202" i="9"/>
  <c r="H159" i="9"/>
  <c r="H201" i="9"/>
  <c r="H172" i="9"/>
  <c r="G39" i="9"/>
  <c r="G24" i="9"/>
  <c r="G6" i="9"/>
  <c r="G94" i="9"/>
  <c r="G99" i="9"/>
  <c r="G59" i="9"/>
  <c r="G109" i="9"/>
  <c r="G190" i="9"/>
  <c r="G185" i="9"/>
  <c r="G203" i="9"/>
  <c r="G173" i="9"/>
  <c r="G139" i="9"/>
  <c r="G114" i="9"/>
  <c r="G72" i="9"/>
  <c r="G240" i="9"/>
  <c r="G197" i="9"/>
  <c r="G167" i="9"/>
  <c r="G214" i="9"/>
  <c r="G208" i="9"/>
  <c r="G222" i="9"/>
  <c r="G134" i="9"/>
  <c r="G182" i="9"/>
  <c r="G19" i="9"/>
  <c r="G38" i="9"/>
  <c r="G23" i="9"/>
  <c r="G12" i="9"/>
  <c r="G9" i="9"/>
  <c r="G28" i="9"/>
  <c r="G7" i="9"/>
  <c r="G127" i="9"/>
  <c r="G78" i="9"/>
  <c r="G44" i="9"/>
  <c r="G82" i="9"/>
  <c r="G91" i="9"/>
  <c r="G50" i="9"/>
  <c r="G47" i="9"/>
  <c r="G138" i="9"/>
  <c r="G46" i="9"/>
  <c r="G93" i="9"/>
  <c r="G52" i="9"/>
  <c r="G57" i="9"/>
  <c r="G98" i="9"/>
  <c r="G143" i="9"/>
  <c r="G106" i="9"/>
  <c r="G101" i="9"/>
  <c r="G112" i="9"/>
  <c r="G33" i="9"/>
  <c r="G117" i="9"/>
  <c r="G70" i="9"/>
  <c r="G189" i="9"/>
  <c r="G234" i="9"/>
  <c r="G195" i="9"/>
  <c r="G156" i="9"/>
  <c r="G151" i="9"/>
  <c r="G212" i="9"/>
  <c r="G131" i="9"/>
  <c r="G241" i="9"/>
  <c r="G202" i="9"/>
  <c r="G171" i="9"/>
  <c r="G218" i="9"/>
  <c r="G227" i="9"/>
  <c r="G181" i="9"/>
  <c r="G177" i="9"/>
  <c r="G148" i="9"/>
  <c r="G60" i="9"/>
  <c r="G113" i="9"/>
  <c r="G64" i="9"/>
  <c r="G75" i="9"/>
  <c r="G122" i="9"/>
  <c r="G239" i="9"/>
  <c r="G192" i="9"/>
  <c r="G187" i="9"/>
  <c r="G200" i="9"/>
  <c r="G126" i="9"/>
  <c r="G213" i="9"/>
  <c r="G166" i="9"/>
  <c r="G207" i="9"/>
  <c r="G246" i="9"/>
  <c r="G175" i="9"/>
  <c r="G224" i="9"/>
  <c r="G176" i="9"/>
  <c r="G174" i="9"/>
  <c r="G232" i="9"/>
  <c r="G20" i="9"/>
  <c r="G25" i="9"/>
  <c r="G128" i="9"/>
  <c r="G42" i="9"/>
  <c r="G92" i="9"/>
  <c r="G86" i="9"/>
  <c r="G55" i="9"/>
  <c r="G62" i="9"/>
  <c r="G71" i="9"/>
  <c r="G162" i="9"/>
  <c r="G228" i="9"/>
  <c r="G145" i="9"/>
  <c r="G67" i="9"/>
  <c r="G76" i="9"/>
  <c r="G180" i="9"/>
  <c r="G37" i="9"/>
  <c r="G18" i="9"/>
  <c r="G11" i="9"/>
  <c r="G22" i="9"/>
  <c r="G27" i="9"/>
  <c r="G16" i="9"/>
  <c r="G13" i="9"/>
  <c r="G130" i="9"/>
  <c r="G41" i="9"/>
  <c r="G81" i="9"/>
  <c r="G43" i="9"/>
  <c r="G49" i="9"/>
  <c r="G90" i="9"/>
  <c r="G137" i="9"/>
  <c r="G88" i="9"/>
  <c r="G85" i="9"/>
  <c r="G96" i="9"/>
  <c r="G31" i="9"/>
  <c r="G97" i="9"/>
  <c r="G56" i="9"/>
  <c r="G105" i="9"/>
  <c r="G142" i="9"/>
  <c r="G111" i="9"/>
  <c r="G66" i="9"/>
  <c r="G61" i="9"/>
  <c r="G120" i="9"/>
  <c r="G35" i="9"/>
  <c r="G233" i="9"/>
  <c r="G186" i="9"/>
  <c r="G155" i="9"/>
  <c r="G194" i="9"/>
  <c r="G211" i="9"/>
  <c r="G165" i="9"/>
  <c r="G161" i="9"/>
  <c r="G244" i="9"/>
  <c r="G159" i="9"/>
  <c r="G217" i="9"/>
  <c r="G170" i="9"/>
  <c r="G179" i="9"/>
  <c r="G226" i="9"/>
  <c r="G147" i="9"/>
  <c r="G108" i="9"/>
  <c r="G103" i="9"/>
  <c r="G116" i="9"/>
  <c r="G34" i="9"/>
  <c r="G121" i="9"/>
  <c r="G74" i="9"/>
  <c r="G191" i="9"/>
  <c r="G238" i="9"/>
  <c r="G199" i="9"/>
  <c r="G158" i="9"/>
  <c r="G153" i="9"/>
  <c r="G216" i="9"/>
  <c r="G132" i="9"/>
  <c r="G245" i="9"/>
  <c r="G206" i="9"/>
  <c r="G204" i="9"/>
  <c r="G223" i="9"/>
  <c r="G221" i="9"/>
  <c r="G229" i="9"/>
  <c r="G230" i="9"/>
  <c r="G17" i="9"/>
  <c r="G14" i="9"/>
  <c r="G79" i="9"/>
  <c r="G83" i="9"/>
  <c r="G45" i="9"/>
  <c r="G30" i="9"/>
  <c r="G135" i="9"/>
  <c r="G53" i="9"/>
  <c r="G58" i="9"/>
  <c r="G144" i="9"/>
  <c r="G118" i="9"/>
  <c r="G235" i="9"/>
  <c r="G196" i="9"/>
  <c r="G125" i="9"/>
  <c r="G209" i="9"/>
  <c r="G242" i="9"/>
  <c r="G219" i="9"/>
  <c r="G169" i="9"/>
  <c r="G104" i="9"/>
  <c r="G123" i="9"/>
  <c r="G150" i="9"/>
  <c r="G154" i="9"/>
  <c r="G247" i="9"/>
  <c r="G172" i="9"/>
  <c r="G40" i="9"/>
  <c r="G8" i="9"/>
  <c r="G21" i="9"/>
  <c r="G10" i="9"/>
  <c r="G15" i="9"/>
  <c r="G26" i="9"/>
  <c r="G129" i="9"/>
  <c r="G80" i="9"/>
  <c r="G77" i="9"/>
  <c r="G84" i="9"/>
  <c r="G29" i="9"/>
  <c r="G89" i="9"/>
  <c r="G48" i="9"/>
  <c r="G87" i="9"/>
  <c r="G136" i="9"/>
  <c r="G95" i="9"/>
  <c r="G54" i="9"/>
  <c r="G51" i="9"/>
  <c r="G100" i="9"/>
  <c r="G32" i="9"/>
  <c r="G141" i="9"/>
  <c r="G102" i="9"/>
  <c r="G65" i="9"/>
  <c r="G110" i="9"/>
  <c r="G119" i="9"/>
  <c r="G73" i="9"/>
  <c r="G69" i="9"/>
  <c r="G236" i="9"/>
  <c r="G149" i="9"/>
  <c r="G193" i="9"/>
  <c r="G152" i="9"/>
  <c r="G163" i="9"/>
  <c r="G210" i="9"/>
  <c r="G243" i="9"/>
  <c r="G205" i="9"/>
  <c r="G201" i="9"/>
  <c r="G220" i="9"/>
  <c r="G133" i="9"/>
  <c r="G225" i="9"/>
  <c r="G178" i="9"/>
  <c r="G107" i="9"/>
  <c r="G146" i="9"/>
  <c r="G115" i="9"/>
  <c r="G68" i="9"/>
  <c r="G63" i="9"/>
  <c r="G124" i="9"/>
  <c r="G36" i="9"/>
  <c r="G237" i="9"/>
  <c r="G188" i="9"/>
  <c r="G157" i="9"/>
  <c r="G198" i="9"/>
  <c r="G215" i="9"/>
  <c r="G168" i="9"/>
  <c r="G164" i="9"/>
  <c r="G248" i="9"/>
  <c r="G160" i="9"/>
  <c r="G231" i="9"/>
  <c r="G183" i="9"/>
  <c r="G184" i="9"/>
  <c r="E56" i="9"/>
  <c r="E120" i="9"/>
  <c r="E233" i="9"/>
  <c r="E211" i="9"/>
  <c r="E226" i="9"/>
  <c r="E108" i="9"/>
  <c r="E191" i="9"/>
  <c r="E153" i="9"/>
  <c r="E206" i="9"/>
  <c r="E174" i="9"/>
  <c r="E134" i="9"/>
  <c r="E172" i="9"/>
  <c r="E231" i="9"/>
  <c r="E140" i="9"/>
  <c r="E19" i="9"/>
  <c r="E40" i="9"/>
  <c r="E38" i="9"/>
  <c r="E8" i="9"/>
  <c r="E23" i="9"/>
  <c r="E21" i="9"/>
  <c r="E12" i="9"/>
  <c r="E10" i="9"/>
  <c r="E9" i="9"/>
  <c r="E15" i="9"/>
  <c r="E28" i="9"/>
  <c r="E26" i="9"/>
  <c r="E7" i="9"/>
  <c r="E129" i="9"/>
  <c r="E127" i="9"/>
  <c r="E80" i="9"/>
  <c r="E78" i="9"/>
  <c r="E77" i="9"/>
  <c r="E44" i="9"/>
  <c r="E84" i="9"/>
  <c r="E82" i="9"/>
  <c r="E29" i="9"/>
  <c r="E91" i="9"/>
  <c r="E89" i="9"/>
  <c r="E50" i="9"/>
  <c r="E48" i="9"/>
  <c r="E47" i="9"/>
  <c r="E87" i="9"/>
  <c r="E138" i="9"/>
  <c r="E136" i="9"/>
  <c r="E46" i="9"/>
  <c r="E95" i="9"/>
  <c r="E94" i="9"/>
  <c r="E58" i="9"/>
  <c r="E144" i="9"/>
  <c r="E109" i="9"/>
  <c r="E71" i="9"/>
  <c r="E235" i="9"/>
  <c r="E185" i="9"/>
  <c r="E125" i="9"/>
  <c r="E162" i="9"/>
  <c r="E242" i="9"/>
  <c r="E173" i="9"/>
  <c r="E228" i="9"/>
  <c r="E145" i="9"/>
  <c r="E67" i="9"/>
  <c r="E123" i="9"/>
  <c r="E72" i="9"/>
  <c r="E150" i="9"/>
  <c r="E154" i="9"/>
  <c r="E214" i="9"/>
  <c r="E208" i="9"/>
  <c r="E184" i="9"/>
  <c r="E182" i="9"/>
  <c r="E175" i="9"/>
  <c r="E229" i="9"/>
  <c r="E183" i="9"/>
  <c r="E222" i="9"/>
  <c r="E223" i="9"/>
  <c r="E204" i="9"/>
  <c r="E160" i="9"/>
  <c r="E246" i="9"/>
  <c r="E248" i="9"/>
  <c r="E207" i="9"/>
  <c r="E164" i="9"/>
  <c r="E166" i="9"/>
  <c r="E168" i="9"/>
  <c r="E213" i="9"/>
  <c r="E215" i="9"/>
  <c r="E126" i="9"/>
  <c r="E198" i="9"/>
  <c r="E200" i="9"/>
  <c r="E157" i="9"/>
  <c r="E187" i="9"/>
  <c r="E188" i="9"/>
  <c r="E192" i="9"/>
  <c r="E237" i="9"/>
  <c r="E239" i="9"/>
  <c r="E36" i="9"/>
  <c r="E122" i="9"/>
  <c r="E124" i="9"/>
  <c r="E75" i="9"/>
  <c r="E63" i="9"/>
  <c r="E64" i="9"/>
  <c r="E68" i="9"/>
  <c r="E113" i="9"/>
  <c r="E115" i="9"/>
  <c r="E60" i="9"/>
  <c r="E146" i="9"/>
  <c r="E148" i="9"/>
  <c r="E107" i="9"/>
  <c r="E177" i="9"/>
  <c r="E178" i="9"/>
  <c r="E181" i="9"/>
  <c r="E225" i="9"/>
  <c r="E227" i="9"/>
  <c r="E133" i="9"/>
  <c r="E218" i="9"/>
  <c r="E220" i="9"/>
  <c r="E171" i="9"/>
  <c r="E201" i="9"/>
  <c r="E202" i="9"/>
  <c r="E205" i="9"/>
  <c r="E241" i="9"/>
  <c r="E243" i="9"/>
  <c r="E131" i="9"/>
  <c r="E210" i="9"/>
  <c r="E212" i="9"/>
  <c r="E163" i="9"/>
  <c r="E151" i="9"/>
  <c r="E152" i="9"/>
  <c r="E156" i="9"/>
  <c r="E193" i="9"/>
  <c r="E195" i="9"/>
  <c r="E149" i="9"/>
  <c r="E234" i="9"/>
  <c r="E236" i="9"/>
  <c r="E189" i="9"/>
  <c r="E69" i="9"/>
  <c r="E70" i="9"/>
  <c r="E73" i="9"/>
  <c r="E117" i="9"/>
  <c r="E119" i="9"/>
  <c r="E33" i="9"/>
  <c r="E110" i="9"/>
  <c r="E112" i="9"/>
  <c r="E65" i="9"/>
  <c r="E101" i="9"/>
  <c r="E102" i="9"/>
  <c r="E106" i="9"/>
  <c r="E141" i="9"/>
  <c r="E143" i="9"/>
  <c r="E32" i="9"/>
  <c r="E98" i="9"/>
  <c r="E100" i="9"/>
  <c r="E57" i="9"/>
  <c r="E51" i="9"/>
  <c r="E52" i="9"/>
  <c r="E54" i="9"/>
  <c r="E93" i="9"/>
  <c r="E232" i="9"/>
  <c r="E176" i="9"/>
  <c r="E224" i="9"/>
  <c r="E221" i="9"/>
  <c r="E180" i="9"/>
  <c r="E142" i="9"/>
  <c r="E66" i="9"/>
  <c r="E161" i="9"/>
  <c r="E121" i="9"/>
  <c r="E199" i="9"/>
  <c r="E132" i="9"/>
  <c r="E96" i="9"/>
  <c r="E97" i="9"/>
  <c r="E105" i="9"/>
  <c r="E111" i="9"/>
  <c r="E61" i="9"/>
  <c r="E35" i="9"/>
  <c r="E186" i="9"/>
  <c r="E194" i="9"/>
  <c r="E165" i="9"/>
  <c r="E244" i="9"/>
  <c r="E217" i="9"/>
  <c r="E179" i="9"/>
  <c r="E147" i="9"/>
  <c r="E103" i="9"/>
  <c r="E34" i="9"/>
  <c r="E74" i="9"/>
  <c r="E238" i="9"/>
  <c r="E158" i="9"/>
  <c r="E216" i="9"/>
  <c r="E245" i="9"/>
  <c r="E31" i="9"/>
  <c r="E155" i="9"/>
  <c r="E159" i="9"/>
  <c r="E170" i="9"/>
  <c r="E116" i="9"/>
  <c r="E39" i="9"/>
  <c r="E37" i="9"/>
  <c r="E20" i="9"/>
  <c r="E18" i="9"/>
  <c r="E17" i="9"/>
  <c r="E11" i="9"/>
  <c r="E24" i="9"/>
  <c r="E22" i="9"/>
  <c r="E6" i="9"/>
  <c r="E27" i="9"/>
  <c r="E25" i="9"/>
  <c r="E16" i="9"/>
  <c r="E14" i="9"/>
  <c r="E13" i="9"/>
  <c r="E79" i="9"/>
  <c r="E130" i="9"/>
  <c r="E128" i="9"/>
  <c r="E41" i="9"/>
  <c r="E83" i="9"/>
  <c r="E81" i="9"/>
  <c r="E45" i="9"/>
  <c r="E43" i="9"/>
  <c r="E42" i="9"/>
  <c r="E49" i="9"/>
  <c r="E92" i="9"/>
  <c r="E90" i="9"/>
  <c r="E30" i="9"/>
  <c r="E137" i="9"/>
  <c r="E135" i="9"/>
  <c r="E88" i="9"/>
  <c r="E86" i="9"/>
  <c r="E85" i="9"/>
  <c r="E53" i="9"/>
  <c r="E99" i="9"/>
  <c r="E55" i="9"/>
  <c r="E59" i="9"/>
  <c r="E62" i="9"/>
  <c r="E118" i="9"/>
  <c r="E190" i="9"/>
  <c r="E196" i="9"/>
  <c r="E209" i="9"/>
  <c r="E203" i="9"/>
  <c r="E219" i="9"/>
  <c r="E169" i="9"/>
  <c r="E139" i="9"/>
  <c r="E104" i="9"/>
  <c r="E114" i="9"/>
  <c r="E76" i="9"/>
  <c r="E240" i="9"/>
  <c r="E197" i="9"/>
  <c r="E167" i="9"/>
  <c r="E247" i="9"/>
  <c r="D229" i="9"/>
  <c r="D19" i="11" s="1"/>
  <c r="O49" i="5" s="1"/>
  <c r="C232" i="9"/>
  <c r="F223" i="9"/>
  <c r="F176" i="9"/>
  <c r="F172" i="9"/>
  <c r="F232" i="9"/>
  <c r="F6" i="11" s="1"/>
  <c r="B51" i="5" s="1"/>
  <c r="F231" i="9"/>
  <c r="F184" i="9"/>
  <c r="F230" i="9"/>
  <c r="F14" i="11" s="1"/>
  <c r="J51" i="5" s="1"/>
  <c r="C204" i="9"/>
  <c r="C221" i="9"/>
  <c r="C134" i="9"/>
  <c r="C183" i="9"/>
  <c r="C182" i="9"/>
  <c r="C184" i="9"/>
  <c r="C140" i="9"/>
  <c r="C160" i="9"/>
  <c r="C224" i="9"/>
  <c r="C174" i="9"/>
  <c r="C229" i="9"/>
  <c r="D160" i="9"/>
  <c r="D223" i="9"/>
  <c r="D221" i="9"/>
  <c r="D176" i="9"/>
  <c r="D174" i="9"/>
  <c r="D172" i="9"/>
  <c r="D183" i="9"/>
  <c r="D232" i="9"/>
  <c r="D6" i="11" s="1"/>
  <c r="B49" i="5" s="1"/>
  <c r="D230" i="9"/>
  <c r="D14" i="11" s="1"/>
  <c r="J49" i="5" s="1"/>
  <c r="R4" i="3"/>
  <c r="H14" i="2"/>
  <c r="H15" i="2"/>
  <c r="H16" i="2"/>
  <c r="L10" i="11" l="1"/>
  <c r="C5" i="12"/>
  <c r="C7" i="12"/>
  <c r="J10" i="11"/>
  <c r="F55" i="5" s="1"/>
  <c r="R11" i="11"/>
  <c r="G63" i="5" s="1"/>
  <c r="H14" i="11"/>
  <c r="J53" i="5" s="1"/>
  <c r="C20" i="11"/>
  <c r="P48" i="5" s="1"/>
  <c r="L11" i="11"/>
  <c r="G57" i="5" s="1"/>
  <c r="H13" i="11"/>
  <c r="I53" i="5" s="1"/>
  <c r="F8" i="11"/>
  <c r="D51" i="5" s="1"/>
  <c r="I6" i="11"/>
  <c r="B54" i="5" s="1"/>
  <c r="D8" i="11"/>
  <c r="D49" i="5" s="1"/>
  <c r="R16" i="11"/>
  <c r="L63" i="5" s="1"/>
  <c r="E20" i="11"/>
  <c r="P50" i="5" s="1"/>
  <c r="G19" i="11"/>
  <c r="O52" i="5" s="1"/>
  <c r="O12" i="11"/>
  <c r="H60" i="5" s="1"/>
  <c r="P15" i="11"/>
  <c r="K61" i="5" s="1"/>
  <c r="Q19" i="11"/>
  <c r="O62" i="5" s="1"/>
  <c r="V15" i="11"/>
  <c r="K67" i="5" s="1"/>
  <c r="AC20" i="11"/>
  <c r="P74" i="5" s="1"/>
  <c r="Y19" i="11"/>
  <c r="O70" i="5" s="1"/>
  <c r="Y12" i="11"/>
  <c r="H70" i="5" s="1"/>
  <c r="G8" i="11"/>
  <c r="D52" i="5" s="1"/>
  <c r="H15" i="11"/>
  <c r="K53" i="5" s="1"/>
  <c r="K8" i="11"/>
  <c r="D56" i="5" s="1"/>
  <c r="M15" i="11"/>
  <c r="K58" i="5" s="1"/>
  <c r="AD12" i="11"/>
  <c r="H75" i="5" s="1"/>
  <c r="V6" i="11"/>
  <c r="B67" i="5" s="1"/>
  <c r="Y9" i="11"/>
  <c r="E70" i="5" s="1"/>
  <c r="I18" i="11"/>
  <c r="N54" i="5" s="1"/>
  <c r="J15" i="11"/>
  <c r="K55" i="5" s="1"/>
  <c r="M11" i="11"/>
  <c r="G58" i="5" s="1"/>
  <c r="N10" i="11"/>
  <c r="F59" i="5" s="1"/>
  <c r="P7" i="11"/>
  <c r="C61" i="5" s="1"/>
  <c r="R12" i="11"/>
  <c r="H63" i="5" s="1"/>
  <c r="AD16" i="11"/>
  <c r="L75" i="5" s="1"/>
  <c r="Z6" i="11"/>
  <c r="B71" i="5" s="1"/>
  <c r="V16" i="11"/>
  <c r="L67" i="5" s="1"/>
  <c r="AC9" i="11"/>
  <c r="E74" i="5" s="1"/>
  <c r="U9" i="11"/>
  <c r="E66" i="5" s="1"/>
  <c r="D12" i="11"/>
  <c r="H49" i="5" s="1"/>
  <c r="F12" i="11"/>
  <c r="H51" i="5" s="1"/>
  <c r="G9" i="11"/>
  <c r="E52" i="5" s="1"/>
  <c r="J14" i="11"/>
  <c r="J55" i="5" s="1"/>
  <c r="K10" i="11"/>
  <c r="F56" i="5" s="1"/>
  <c r="N20" i="11"/>
  <c r="P59" i="5" s="1"/>
  <c r="AD11" i="11"/>
  <c r="G75" i="5" s="1"/>
  <c r="V7" i="11"/>
  <c r="C67" i="5" s="1"/>
  <c r="AC17" i="11"/>
  <c r="M74" i="5" s="1"/>
  <c r="N7" i="11"/>
  <c r="C59" i="5" s="1"/>
  <c r="AD14" i="11"/>
  <c r="J75" i="5" s="1"/>
  <c r="E14" i="11"/>
  <c r="J50" i="5" s="1"/>
  <c r="H17" i="11"/>
  <c r="M53" i="5" s="1"/>
  <c r="H20" i="11"/>
  <c r="P53" i="5" s="1"/>
  <c r="H11" i="11"/>
  <c r="G53" i="5" s="1"/>
  <c r="K11" i="11"/>
  <c r="G56" i="5" s="1"/>
  <c r="K12" i="11"/>
  <c r="H56" i="5" s="1"/>
  <c r="M7" i="11"/>
  <c r="C58" i="5" s="1"/>
  <c r="M8" i="11"/>
  <c r="D58" i="5" s="1"/>
  <c r="P13" i="11"/>
  <c r="I61" i="5" s="1"/>
  <c r="P20" i="11"/>
  <c r="P61" i="5" s="1"/>
  <c r="Q9" i="11"/>
  <c r="E62" i="5" s="1"/>
  <c r="R20" i="11"/>
  <c r="P63" i="5" s="1"/>
  <c r="R17" i="11"/>
  <c r="M63" i="5" s="1"/>
  <c r="AD6" i="11"/>
  <c r="B75" i="5" s="1"/>
  <c r="Z8" i="11"/>
  <c r="D71" i="5" s="1"/>
  <c r="Z15" i="11"/>
  <c r="K71" i="5" s="1"/>
  <c r="AC15" i="11"/>
  <c r="K74" i="5" s="1"/>
  <c r="AC10" i="11"/>
  <c r="F74" i="5" s="1"/>
  <c r="AC18" i="11"/>
  <c r="N74" i="5" s="1"/>
  <c r="U20" i="11"/>
  <c r="P66" i="5" s="1"/>
  <c r="U16" i="11"/>
  <c r="L66" i="5" s="1"/>
  <c r="U19" i="11"/>
  <c r="O66" i="5" s="1"/>
  <c r="U12" i="11"/>
  <c r="H66" i="5" s="1"/>
  <c r="AA11" i="11"/>
  <c r="G72" i="5" s="1"/>
  <c r="AA14" i="11"/>
  <c r="J72" i="5" s="1"/>
  <c r="AB7" i="11"/>
  <c r="C73" i="5" s="1"/>
  <c r="AB14" i="11"/>
  <c r="J73" i="5" s="1"/>
  <c r="T14" i="11"/>
  <c r="J65" i="5" s="1"/>
  <c r="L6" i="11"/>
  <c r="B57" i="5" s="1"/>
  <c r="G20" i="11"/>
  <c r="P52" i="5" s="1"/>
  <c r="AF13" i="11"/>
  <c r="I77" i="5" s="1"/>
  <c r="E17" i="11"/>
  <c r="M50" i="5" s="1"/>
  <c r="E11" i="11"/>
  <c r="G50" i="5" s="1"/>
  <c r="H10" i="11"/>
  <c r="F53" i="5" s="1"/>
  <c r="H18" i="11"/>
  <c r="N53" i="5" s="1"/>
  <c r="N8" i="11"/>
  <c r="D59" i="5" s="1"/>
  <c r="O6" i="11"/>
  <c r="P9" i="11"/>
  <c r="E61" i="5" s="1"/>
  <c r="AD20" i="11"/>
  <c r="P75" i="5" s="1"/>
  <c r="AD10" i="11"/>
  <c r="F75" i="5" s="1"/>
  <c r="Z10" i="11"/>
  <c r="F71" i="5" s="1"/>
  <c r="V13" i="11"/>
  <c r="I67" i="5" s="1"/>
  <c r="AC16" i="11"/>
  <c r="L74" i="5" s="1"/>
  <c r="AC8" i="11"/>
  <c r="D74" i="5" s="1"/>
  <c r="Y15" i="11"/>
  <c r="K70" i="5" s="1"/>
  <c r="U18" i="11"/>
  <c r="N66" i="5" s="1"/>
  <c r="AF11" i="11"/>
  <c r="G77" i="5" s="1"/>
  <c r="X11" i="11"/>
  <c r="G69" i="5" s="1"/>
  <c r="X7" i="11"/>
  <c r="C69" i="5" s="1"/>
  <c r="T11" i="11"/>
  <c r="G65" i="5" s="1"/>
  <c r="P8" i="11"/>
  <c r="D61" i="5" s="1"/>
  <c r="G7" i="11"/>
  <c r="C52" i="5" s="1"/>
  <c r="I10" i="11"/>
  <c r="F54" i="5" s="1"/>
  <c r="K14" i="11"/>
  <c r="J56" i="5" s="1"/>
  <c r="N6" i="11"/>
  <c r="B59" i="5" s="1"/>
  <c r="N12" i="11"/>
  <c r="H59" i="5" s="1"/>
  <c r="AD7" i="11"/>
  <c r="C75" i="5" s="1"/>
  <c r="Z16" i="11"/>
  <c r="L71" i="5" s="1"/>
  <c r="Z11" i="11"/>
  <c r="G71" i="5" s="1"/>
  <c r="Z12" i="11"/>
  <c r="H71" i="5" s="1"/>
  <c r="U8" i="11"/>
  <c r="D66" i="5" s="1"/>
  <c r="AA13" i="11"/>
  <c r="I72" i="5" s="1"/>
  <c r="AA15" i="11"/>
  <c r="K72" i="5" s="1"/>
  <c r="X13" i="11"/>
  <c r="I69" i="5" s="1"/>
  <c r="N13" i="11"/>
  <c r="I59" i="5" s="1"/>
  <c r="C8" i="11"/>
  <c r="D48" i="5" s="1"/>
  <c r="C10" i="11"/>
  <c r="F48" i="5" s="1"/>
  <c r="E18" i="11"/>
  <c r="N50" i="5" s="1"/>
  <c r="I7" i="11"/>
  <c r="C54" i="5" s="1"/>
  <c r="L15" i="11"/>
  <c r="K57" i="5" s="1"/>
  <c r="R13" i="11"/>
  <c r="I63" i="5" s="1"/>
  <c r="G14" i="11"/>
  <c r="J52" i="5" s="1"/>
  <c r="J6" i="11"/>
  <c r="B55" i="5" s="1"/>
  <c r="K17" i="11"/>
  <c r="M56" i="5" s="1"/>
  <c r="K6" i="11"/>
  <c r="L14" i="11"/>
  <c r="J57" i="5" s="1"/>
  <c r="N9" i="11"/>
  <c r="E59" i="5" s="1"/>
  <c r="P19" i="11"/>
  <c r="O61" i="5" s="1"/>
  <c r="P12" i="11"/>
  <c r="H61" i="5" s="1"/>
  <c r="AD8" i="11"/>
  <c r="D75" i="5" s="1"/>
  <c r="Y20" i="11"/>
  <c r="P70" i="5" s="1"/>
  <c r="AB11" i="11"/>
  <c r="G73" i="5" s="1"/>
  <c r="E12" i="11"/>
  <c r="H50" i="5" s="1"/>
  <c r="G15" i="11"/>
  <c r="K52" i="5" s="1"/>
  <c r="H8" i="11"/>
  <c r="D53" i="5" s="1"/>
  <c r="I9" i="11"/>
  <c r="E54" i="5" s="1"/>
  <c r="J13" i="11"/>
  <c r="I55" i="5" s="1"/>
  <c r="J18" i="11"/>
  <c r="N55" i="5" s="1"/>
  <c r="J20" i="11"/>
  <c r="P55" i="5" s="1"/>
  <c r="L18" i="11"/>
  <c r="N57" i="5" s="1"/>
  <c r="M17" i="11"/>
  <c r="M58" i="5" s="1"/>
  <c r="M12" i="11"/>
  <c r="H58" i="5" s="1"/>
  <c r="M19" i="11"/>
  <c r="O58" i="5" s="1"/>
  <c r="M20" i="11"/>
  <c r="P58" i="5" s="1"/>
  <c r="N18" i="11"/>
  <c r="N59" i="5" s="1"/>
  <c r="O16" i="11"/>
  <c r="L60" i="5" s="1"/>
  <c r="O13" i="11"/>
  <c r="I60" i="5" s="1"/>
  <c r="P16" i="11"/>
  <c r="L61" i="5" s="1"/>
  <c r="R9" i="11"/>
  <c r="E63" i="5" s="1"/>
  <c r="R18" i="11"/>
  <c r="N63" i="5" s="1"/>
  <c r="Z14" i="11"/>
  <c r="J71" i="5" s="1"/>
  <c r="Y10" i="11"/>
  <c r="F70" i="5" s="1"/>
  <c r="AB13" i="11"/>
  <c r="I73" i="5" s="1"/>
  <c r="T7" i="11"/>
  <c r="C65" i="5" s="1"/>
  <c r="C16" i="11"/>
  <c r="L48" i="5" s="1"/>
  <c r="E13" i="11"/>
  <c r="I50" i="5" s="1"/>
  <c r="E8" i="11"/>
  <c r="D50" i="5" s="1"/>
  <c r="G12" i="11"/>
  <c r="H52" i="5" s="1"/>
  <c r="G11" i="11"/>
  <c r="G52" i="5" s="1"/>
  <c r="I11" i="11"/>
  <c r="G54" i="5" s="1"/>
  <c r="J16" i="11"/>
  <c r="L55" i="5" s="1"/>
  <c r="K16" i="11"/>
  <c r="L56" i="5" s="1"/>
  <c r="K19" i="11"/>
  <c r="O56" i="5" s="1"/>
  <c r="L9" i="11"/>
  <c r="E57" i="5" s="1"/>
  <c r="M13" i="11"/>
  <c r="I58" i="5" s="1"/>
  <c r="M16" i="11"/>
  <c r="L58" i="5" s="1"/>
  <c r="M6" i="11"/>
  <c r="B58" i="5" s="1"/>
  <c r="R10" i="11"/>
  <c r="F63" i="5" s="1"/>
  <c r="AD13" i="11"/>
  <c r="I75" i="5" s="1"/>
  <c r="AD18" i="11"/>
  <c r="N75" i="5" s="1"/>
  <c r="Z17" i="11"/>
  <c r="M71" i="5" s="1"/>
  <c r="Z18" i="11"/>
  <c r="N71" i="5" s="1"/>
  <c r="V20" i="11"/>
  <c r="P67" i="5" s="1"/>
  <c r="V11" i="11"/>
  <c r="G67" i="5" s="1"/>
  <c r="V12" i="11"/>
  <c r="H67" i="5" s="1"/>
  <c r="V8" i="11"/>
  <c r="D67" i="5" s="1"/>
  <c r="AC6" i="11"/>
  <c r="B74" i="5" s="1"/>
  <c r="Y17" i="11"/>
  <c r="M70" i="5" s="1"/>
  <c r="Y11" i="11"/>
  <c r="G70" i="5" s="1"/>
  <c r="Y18" i="11"/>
  <c r="N70" i="5" s="1"/>
  <c r="Y6" i="11"/>
  <c r="U17" i="11"/>
  <c r="M66" i="5" s="1"/>
  <c r="U13" i="11"/>
  <c r="I66" i="5" s="1"/>
  <c r="AA17" i="11"/>
  <c r="M72" i="5" s="1"/>
  <c r="AA6" i="11"/>
  <c r="AA8" i="11"/>
  <c r="D72" i="5" s="1"/>
  <c r="AF17" i="11"/>
  <c r="M77" i="5" s="1"/>
  <c r="AF9" i="11"/>
  <c r="E77" i="5" s="1"/>
  <c r="AF14" i="11"/>
  <c r="J77" i="5" s="1"/>
  <c r="X19" i="11"/>
  <c r="O69" i="5" s="1"/>
  <c r="X15" i="11"/>
  <c r="K69" i="5" s="1"/>
  <c r="X14" i="11"/>
  <c r="J69" i="5" s="1"/>
  <c r="T17" i="11"/>
  <c r="M65" i="5" s="1"/>
  <c r="T16" i="11"/>
  <c r="L65" i="5" s="1"/>
  <c r="AE16" i="11"/>
  <c r="L76" i="5" s="1"/>
  <c r="W18" i="11"/>
  <c r="N68" i="5" s="1"/>
  <c r="S9" i="11"/>
  <c r="E64" i="5" s="1"/>
  <c r="S6" i="11"/>
  <c r="B64" i="5" s="1"/>
  <c r="M9" i="11"/>
  <c r="E58" i="5" s="1"/>
  <c r="Q14" i="11"/>
  <c r="J62" i="5" s="1"/>
  <c r="Q12" i="11"/>
  <c r="H62" i="5" s="1"/>
  <c r="Q8" i="11"/>
  <c r="D62" i="5" s="1"/>
  <c r="O11" i="11"/>
  <c r="G60" i="5" s="1"/>
  <c r="K13" i="11"/>
  <c r="I56" i="5" s="1"/>
  <c r="P11" i="11"/>
  <c r="G61" i="5" s="1"/>
  <c r="L17" i="11"/>
  <c r="M57" i="5" s="1"/>
  <c r="C17" i="11"/>
  <c r="M48" i="5" s="1"/>
  <c r="C14" i="11"/>
  <c r="J48" i="5" s="1"/>
  <c r="B56" i="5"/>
  <c r="E6" i="11"/>
  <c r="B50" i="5" s="1"/>
  <c r="G13" i="11"/>
  <c r="I52" i="5" s="1"/>
  <c r="AB20" i="11"/>
  <c r="P73" i="5" s="1"/>
  <c r="E16" i="11"/>
  <c r="L50" i="5" s="1"/>
  <c r="G10" i="11"/>
  <c r="F52" i="5" s="1"/>
  <c r="G18" i="11"/>
  <c r="N52" i="5" s="1"/>
  <c r="H7" i="11"/>
  <c r="C53" i="5" s="1"/>
  <c r="I19" i="11"/>
  <c r="O54" i="5" s="1"/>
  <c r="I12" i="11"/>
  <c r="H54" i="5" s="1"/>
  <c r="I8" i="11"/>
  <c r="D54" i="5" s="1"/>
  <c r="I13" i="11"/>
  <c r="I54" i="5" s="1"/>
  <c r="I20" i="11"/>
  <c r="P54" i="5" s="1"/>
  <c r="I16" i="11"/>
  <c r="L54" i="5" s="1"/>
  <c r="I15" i="11"/>
  <c r="K54" i="5" s="1"/>
  <c r="J17" i="11"/>
  <c r="M55" i="5" s="1"/>
  <c r="J11" i="11"/>
  <c r="G55" i="5" s="1"/>
  <c r="O10" i="11"/>
  <c r="F60" i="5" s="1"/>
  <c r="O7" i="11"/>
  <c r="C60" i="5" s="1"/>
  <c r="P6" i="11"/>
  <c r="B61" i="5" s="1"/>
  <c r="Q13" i="11"/>
  <c r="I62" i="5" s="1"/>
  <c r="Q10" i="11"/>
  <c r="F62" i="5" s="1"/>
  <c r="R14" i="11"/>
  <c r="J63" i="5" s="1"/>
  <c r="R15" i="11"/>
  <c r="K63" i="5" s="1"/>
  <c r="AD9" i="11"/>
  <c r="E75" i="5" s="1"/>
  <c r="Z7" i="11"/>
  <c r="C71" i="5" s="1"/>
  <c r="Z19" i="11"/>
  <c r="O71" i="5" s="1"/>
  <c r="V19" i="11"/>
  <c r="O67" i="5" s="1"/>
  <c r="V10" i="11"/>
  <c r="F67" i="5" s="1"/>
  <c r="AC11" i="11"/>
  <c r="G74" i="5" s="1"/>
  <c r="Y8" i="11"/>
  <c r="D70" i="5" s="1"/>
  <c r="U11" i="11"/>
  <c r="G66" i="5" s="1"/>
  <c r="U6" i="11"/>
  <c r="B66" i="5" s="1"/>
  <c r="AA20" i="11"/>
  <c r="P72" i="5" s="1"/>
  <c r="AA16" i="11"/>
  <c r="L72" i="5" s="1"/>
  <c r="AA19" i="11"/>
  <c r="O72" i="5" s="1"/>
  <c r="AF15" i="11"/>
  <c r="K77" i="5" s="1"/>
  <c r="AF12" i="11"/>
  <c r="H77" i="5" s="1"/>
  <c r="AB16" i="11"/>
  <c r="L73" i="5" s="1"/>
  <c r="AB15" i="11"/>
  <c r="K73" i="5" s="1"/>
  <c r="AB12" i="11"/>
  <c r="H73" i="5" s="1"/>
  <c r="X12" i="11"/>
  <c r="H69" i="5" s="1"/>
  <c r="T19" i="11"/>
  <c r="O65" i="5" s="1"/>
  <c r="T13" i="11"/>
  <c r="I65" i="5" s="1"/>
  <c r="T12" i="11"/>
  <c r="H65" i="5" s="1"/>
  <c r="AE6" i="11"/>
  <c r="AE10" i="11"/>
  <c r="F76" i="5" s="1"/>
  <c r="AE12" i="11"/>
  <c r="H76" i="5" s="1"/>
  <c r="W16" i="11"/>
  <c r="L68" i="5" s="1"/>
  <c r="W6" i="11"/>
  <c r="B68" i="5" s="1"/>
  <c r="W9" i="11"/>
  <c r="E68" i="5" s="1"/>
  <c r="W14" i="11"/>
  <c r="J68" i="5" s="1"/>
  <c r="W8" i="11"/>
  <c r="D68" i="5" s="1"/>
  <c r="S7" i="11"/>
  <c r="C64" i="5" s="1"/>
  <c r="S11" i="11"/>
  <c r="G64" i="5" s="1"/>
  <c r="S14" i="11"/>
  <c r="J64" i="5" s="1"/>
  <c r="S8" i="11"/>
  <c r="D64" i="5" s="1"/>
  <c r="N14" i="11"/>
  <c r="J59" i="5" s="1"/>
  <c r="Q20" i="11"/>
  <c r="P62" i="5" s="1"/>
  <c r="O8" i="11"/>
  <c r="D60" i="5" s="1"/>
  <c r="O19" i="11"/>
  <c r="O60" i="5" s="1"/>
  <c r="K7" i="11"/>
  <c r="C56" i="5" s="1"/>
  <c r="P18" i="11"/>
  <c r="N61" i="5" s="1"/>
  <c r="P14" i="11"/>
  <c r="J61" i="5" s="1"/>
  <c r="L12" i="11"/>
  <c r="H57" i="5" s="1"/>
  <c r="L8" i="11"/>
  <c r="D57" i="5" s="1"/>
  <c r="C15" i="11"/>
  <c r="K48" i="5" s="1"/>
  <c r="C18" i="11"/>
  <c r="N48" i="5" s="1"/>
  <c r="C19" i="11"/>
  <c r="O48" i="5" s="1"/>
  <c r="AD19" i="11"/>
  <c r="O75" i="5" s="1"/>
  <c r="O14" i="11"/>
  <c r="J60" i="5" s="1"/>
  <c r="C9" i="11"/>
  <c r="E48" i="5" s="1"/>
  <c r="E10" i="11"/>
  <c r="F50" i="5" s="1"/>
  <c r="E19" i="11"/>
  <c r="E9" i="11"/>
  <c r="E50" i="5" s="1"/>
  <c r="E15" i="11"/>
  <c r="K50" i="5" s="1"/>
  <c r="G6" i="11"/>
  <c r="B52" i="5" s="1"/>
  <c r="G17" i="11"/>
  <c r="M52" i="5" s="1"/>
  <c r="H19" i="11"/>
  <c r="O53" i="5" s="1"/>
  <c r="H9" i="11"/>
  <c r="E53" i="5" s="1"/>
  <c r="H6" i="11"/>
  <c r="B53" i="5" s="1"/>
  <c r="I14" i="11"/>
  <c r="J54" i="5" s="1"/>
  <c r="I17" i="11"/>
  <c r="M54" i="5" s="1"/>
  <c r="J8" i="11"/>
  <c r="D55" i="5" s="1"/>
  <c r="J12" i="11"/>
  <c r="H55" i="5" s="1"/>
  <c r="J19" i="11"/>
  <c r="O55" i="5" s="1"/>
  <c r="J9" i="11"/>
  <c r="E55" i="5" s="1"/>
  <c r="K15" i="11"/>
  <c r="K56" i="5" s="1"/>
  <c r="K9" i="11"/>
  <c r="E56" i="5" s="1"/>
  <c r="N19" i="11"/>
  <c r="O59" i="5" s="1"/>
  <c r="O18" i="11"/>
  <c r="N60" i="5" s="1"/>
  <c r="O15" i="11"/>
  <c r="K60" i="5" s="1"/>
  <c r="O20" i="11"/>
  <c r="P60" i="5" s="1"/>
  <c r="O17" i="11"/>
  <c r="M60" i="5" s="1"/>
  <c r="P17" i="11"/>
  <c r="M61" i="5" s="1"/>
  <c r="Q15" i="11"/>
  <c r="K62" i="5" s="1"/>
  <c r="Q17" i="11"/>
  <c r="M62" i="5" s="1"/>
  <c r="Q7" i="11"/>
  <c r="C62" i="5" s="1"/>
  <c r="Q11" i="11"/>
  <c r="G62" i="5" s="1"/>
  <c r="R19" i="11"/>
  <c r="O63" i="5" s="1"/>
  <c r="R8" i="11"/>
  <c r="D63" i="5" s="1"/>
  <c r="R7" i="11"/>
  <c r="C63" i="5" s="1"/>
  <c r="AD15" i="11"/>
  <c r="K75" i="5" s="1"/>
  <c r="Z20" i="11"/>
  <c r="P71" i="5" s="1"/>
  <c r="Z13" i="11"/>
  <c r="I71" i="5" s="1"/>
  <c r="V9" i="11"/>
  <c r="E67" i="5" s="1"/>
  <c r="Y13" i="11"/>
  <c r="I70" i="5" s="1"/>
  <c r="Y14" i="11"/>
  <c r="J70" i="5" s="1"/>
  <c r="U15" i="11"/>
  <c r="K66" i="5" s="1"/>
  <c r="U14" i="11"/>
  <c r="J66" i="5" s="1"/>
  <c r="AA10" i="11"/>
  <c r="F72" i="5" s="1"/>
  <c r="AA12" i="11"/>
  <c r="H72" i="5" s="1"/>
  <c r="AF16" i="11"/>
  <c r="L77" i="5" s="1"/>
  <c r="AF7" i="11"/>
  <c r="C77" i="5" s="1"/>
  <c r="AF10" i="11"/>
  <c r="F77" i="5" s="1"/>
  <c r="AF18" i="11"/>
  <c r="N77" i="5" s="1"/>
  <c r="AF6" i="11"/>
  <c r="AB17" i="11"/>
  <c r="M73" i="5" s="1"/>
  <c r="AB19" i="11"/>
  <c r="O73" i="5" s="1"/>
  <c r="AB9" i="11"/>
  <c r="E73" i="5" s="1"/>
  <c r="AB10" i="11"/>
  <c r="F73" i="5" s="1"/>
  <c r="AB18" i="11"/>
  <c r="N73" i="5" s="1"/>
  <c r="AB6" i="11"/>
  <c r="B73" i="5" s="1"/>
  <c r="X16" i="11"/>
  <c r="L69" i="5" s="1"/>
  <c r="X20" i="11"/>
  <c r="P69" i="5" s="1"/>
  <c r="X9" i="11"/>
  <c r="E69" i="5" s="1"/>
  <c r="X10" i="11"/>
  <c r="F69" i="5" s="1"/>
  <c r="X18" i="11"/>
  <c r="N69" i="5" s="1"/>
  <c r="X6" i="11"/>
  <c r="B69" i="5" s="1"/>
  <c r="T20" i="11"/>
  <c r="P65" i="5" s="1"/>
  <c r="T9" i="11"/>
  <c r="E65" i="5" s="1"/>
  <c r="T10" i="11"/>
  <c r="F65" i="5" s="1"/>
  <c r="T18" i="11"/>
  <c r="N65" i="5" s="1"/>
  <c r="T6" i="11"/>
  <c r="B65" i="5" s="1"/>
  <c r="AE11" i="11"/>
  <c r="G76" i="5" s="1"/>
  <c r="AE18" i="11"/>
  <c r="N76" i="5" s="1"/>
  <c r="AE19" i="11"/>
  <c r="O76" i="5" s="1"/>
  <c r="AE15" i="11"/>
  <c r="K76" i="5" s="1"/>
  <c r="W13" i="11"/>
  <c r="I68" i="5" s="1"/>
  <c r="W11" i="11"/>
  <c r="G68" i="5" s="1"/>
  <c r="S17" i="11"/>
  <c r="M64" i="5" s="1"/>
  <c r="S20" i="11"/>
  <c r="P64" i="5" s="1"/>
  <c r="S19" i="11"/>
  <c r="O64" i="5" s="1"/>
  <c r="N15" i="11"/>
  <c r="N16" i="11"/>
  <c r="L59" i="5" s="1"/>
  <c r="C15" i="12" s="1"/>
  <c r="M10" i="11"/>
  <c r="F58" i="5" s="1"/>
  <c r="O9" i="11"/>
  <c r="E60" i="5" s="1"/>
  <c r="K18" i="11"/>
  <c r="N56" i="5" s="1"/>
  <c r="L16" i="11"/>
  <c r="L57" i="5" s="1"/>
  <c r="C11" i="11"/>
  <c r="G48" i="5" s="1"/>
  <c r="C7" i="11"/>
  <c r="C48" i="5" s="1"/>
  <c r="C6" i="11"/>
  <c r="B48" i="5" s="1"/>
  <c r="E7" i="11"/>
  <c r="C50" i="5" s="1"/>
  <c r="G16" i="11"/>
  <c r="L52" i="5" s="1"/>
  <c r="H16" i="11"/>
  <c r="L53" i="5" s="1"/>
  <c r="H12" i="11"/>
  <c r="H53" i="5" s="1"/>
  <c r="J7" i="11"/>
  <c r="C55" i="5" s="1"/>
  <c r="K20" i="11"/>
  <c r="P56" i="5" s="1"/>
  <c r="L13" i="11"/>
  <c r="I57" i="5" s="1"/>
  <c r="N11" i="11"/>
  <c r="G59" i="5" s="1"/>
  <c r="P10" i="11"/>
  <c r="F61" i="5" s="1"/>
  <c r="Q6" i="11"/>
  <c r="B62" i="5" s="1"/>
  <c r="Q16" i="11"/>
  <c r="L62" i="5" s="1"/>
  <c r="Q18" i="11"/>
  <c r="N62" i="5" s="1"/>
  <c r="R6" i="11"/>
  <c r="B63" i="5" s="1"/>
  <c r="AD17" i="11"/>
  <c r="M75" i="5" s="1"/>
  <c r="Z9" i="11"/>
  <c r="E71" i="5" s="1"/>
  <c r="V17" i="11"/>
  <c r="M67" i="5" s="1"/>
  <c r="V18" i="11"/>
  <c r="N67" i="5" s="1"/>
  <c r="V14" i="11"/>
  <c r="J67" i="5" s="1"/>
  <c r="AC13" i="11"/>
  <c r="I74" i="5" s="1"/>
  <c r="AC14" i="11"/>
  <c r="J74" i="5" s="1"/>
  <c r="AC7" i="11"/>
  <c r="C74" i="5" s="1"/>
  <c r="AC19" i="11"/>
  <c r="O74" i="5" s="1"/>
  <c r="AC12" i="11"/>
  <c r="H74" i="5" s="1"/>
  <c r="Y16" i="11"/>
  <c r="L70" i="5" s="1"/>
  <c r="Y7" i="11"/>
  <c r="C70" i="5" s="1"/>
  <c r="U7" i="11"/>
  <c r="C66" i="5" s="1"/>
  <c r="U10" i="11"/>
  <c r="F66" i="5" s="1"/>
  <c r="AA7" i="11"/>
  <c r="C72" i="5" s="1"/>
  <c r="AA18" i="11"/>
  <c r="N72" i="5" s="1"/>
  <c r="AA9" i="11"/>
  <c r="E72" i="5" s="1"/>
  <c r="AF19" i="11"/>
  <c r="O77" i="5" s="1"/>
  <c r="AF8" i="11"/>
  <c r="D77" i="5" s="1"/>
  <c r="AB8" i="11"/>
  <c r="D73" i="5" s="1"/>
  <c r="X17" i="11"/>
  <c r="M69" i="5" s="1"/>
  <c r="X8" i="11"/>
  <c r="D69" i="5" s="1"/>
  <c r="T15" i="11"/>
  <c r="K65" i="5" s="1"/>
  <c r="T8" i="11"/>
  <c r="D65" i="5" s="1"/>
  <c r="AE17" i="11"/>
  <c r="M76" i="5" s="1"/>
  <c r="AE13" i="11"/>
  <c r="I76" i="5" s="1"/>
  <c r="AE7" i="11"/>
  <c r="C76" i="5" s="1"/>
  <c r="AE9" i="11"/>
  <c r="E76" i="5" s="1"/>
  <c r="AE14" i="11"/>
  <c r="J76" i="5" s="1"/>
  <c r="AE8" i="11"/>
  <c r="D76" i="5" s="1"/>
  <c r="W17" i="11"/>
  <c r="M68" i="5" s="1"/>
  <c r="W20" i="11"/>
  <c r="P68" i="5" s="1"/>
  <c r="W7" i="11"/>
  <c r="C68" i="5" s="1"/>
  <c r="W19" i="11"/>
  <c r="O68" i="5" s="1"/>
  <c r="W15" i="11"/>
  <c r="K68" i="5" s="1"/>
  <c r="W10" i="11"/>
  <c r="F68" i="5" s="1"/>
  <c r="W12" i="11"/>
  <c r="H68" i="5" s="1"/>
  <c r="S16" i="11"/>
  <c r="L64" i="5" s="1"/>
  <c r="S13" i="11"/>
  <c r="I64" i="5" s="1"/>
  <c r="S15" i="11"/>
  <c r="K64" i="5" s="1"/>
  <c r="S18" i="11"/>
  <c r="N64" i="5" s="1"/>
  <c r="S10" i="11"/>
  <c r="F64" i="5" s="1"/>
  <c r="S12" i="11"/>
  <c r="H64" i="5" s="1"/>
  <c r="N17" i="11"/>
  <c r="M59" i="5" s="1"/>
  <c r="M14" i="11"/>
  <c r="J58" i="5" s="1"/>
  <c r="M18" i="11"/>
  <c r="N58" i="5" s="1"/>
  <c r="L20" i="11"/>
  <c r="P57" i="5" s="1"/>
  <c r="L19" i="11"/>
  <c r="O57" i="5" s="1"/>
  <c r="L7" i="11"/>
  <c r="C57" i="5" s="1"/>
  <c r="C13" i="11"/>
  <c r="I48" i="5" s="1"/>
  <c r="C12" i="11"/>
  <c r="H48" i="5" s="1"/>
  <c r="AF20" i="11"/>
  <c r="P77" i="5" s="1"/>
  <c r="AE20" i="11"/>
  <c r="P76" i="5" s="1"/>
  <c r="F57" i="5"/>
  <c r="AG77" i="9"/>
  <c r="AG39" i="9"/>
  <c r="AG138" i="9"/>
  <c r="AG28" i="9"/>
  <c r="AG196" i="9"/>
  <c r="AG20" i="9"/>
  <c r="AG91" i="9"/>
  <c r="AG58" i="9"/>
  <c r="AG87" i="9"/>
  <c r="AG86" i="9"/>
  <c r="AG241" i="9"/>
  <c r="AG48" i="9"/>
  <c r="AG19" i="9"/>
  <c r="AG21" i="9"/>
  <c r="AG82" i="9"/>
  <c r="AG18" i="9"/>
  <c r="AG80" i="9"/>
  <c r="AG105" i="9"/>
  <c r="AG53" i="9"/>
  <c r="AG9" i="9"/>
  <c r="AG37" i="9"/>
  <c r="AG144" i="9"/>
  <c r="AG130" i="9"/>
  <c r="AG50" i="9"/>
  <c r="AG83" i="9"/>
  <c r="AG23" i="9"/>
  <c r="AG78" i="9"/>
  <c r="AG127" i="9"/>
  <c r="AG81" i="9"/>
  <c r="AG88" i="9"/>
  <c r="AG25" i="9"/>
  <c r="AG15" i="9"/>
  <c r="AG79" i="9"/>
  <c r="AG40" i="9"/>
  <c r="AG46" i="9"/>
  <c r="AG59" i="9"/>
  <c r="AG243" i="9"/>
  <c r="AG66" i="9"/>
  <c r="AG119" i="9"/>
  <c r="AG95" i="9"/>
  <c r="AG57" i="9"/>
  <c r="AG142" i="9"/>
  <c r="AG149" i="9"/>
  <c r="AG161" i="9"/>
  <c r="AG171" i="9"/>
  <c r="AG133" i="9"/>
  <c r="AG173" i="9"/>
  <c r="AG178" i="9"/>
  <c r="AG42" i="9"/>
  <c r="AG24" i="9"/>
  <c r="AG151" i="9"/>
  <c r="AG135" i="9"/>
  <c r="AG137" i="9"/>
  <c r="AG13" i="9"/>
  <c r="AG30" i="9"/>
  <c r="AG29" i="9"/>
  <c r="AG6" i="9"/>
  <c r="AG10" i="9"/>
  <c r="AG22" i="9"/>
  <c r="AG62" i="9"/>
  <c r="AG27" i="9"/>
  <c r="AG125" i="9"/>
  <c r="AG189" i="9"/>
  <c r="AG162" i="9"/>
  <c r="AG47" i="9"/>
  <c r="AG49" i="9"/>
  <c r="AG11" i="9"/>
  <c r="AG70" i="9"/>
  <c r="AG71" i="9"/>
  <c r="AG94" i="9"/>
  <c r="AG117" i="9"/>
  <c r="AG31" i="9"/>
  <c r="AG111" i="9"/>
  <c r="AG110" i="9"/>
  <c r="AG69" i="9"/>
  <c r="AG93" i="9"/>
  <c r="AG98" i="9"/>
  <c r="AG102" i="9"/>
  <c r="AG235" i="9"/>
  <c r="AG212" i="9"/>
  <c r="AG195" i="9"/>
  <c r="AG228" i="9"/>
  <c r="AG234" i="9"/>
  <c r="AG194" i="9"/>
  <c r="AG217" i="9"/>
  <c r="AG244" i="9"/>
  <c r="AG220" i="9"/>
  <c r="AG201" i="9"/>
  <c r="AG225" i="9"/>
  <c r="AG170" i="9"/>
  <c r="AG177" i="9"/>
  <c r="AG7" i="9"/>
  <c r="AG8" i="9"/>
  <c r="AG92" i="9"/>
  <c r="AG17" i="9"/>
  <c r="AG156" i="9"/>
  <c r="AG101" i="9"/>
  <c r="AG45" i="9"/>
  <c r="AG12" i="9"/>
  <c r="AG65" i="9"/>
  <c r="AG32" i="9"/>
  <c r="AG90" i="9"/>
  <c r="AG165" i="9"/>
  <c r="AG85" i="9"/>
  <c r="AG99" i="9"/>
  <c r="AG118" i="9"/>
  <c r="AG97" i="9"/>
  <c r="AG109" i="9"/>
  <c r="AG33" i="9"/>
  <c r="AG210" i="9"/>
  <c r="AG96" i="9"/>
  <c r="AG56" i="9"/>
  <c r="AG120" i="9"/>
  <c r="AG233" i="9"/>
  <c r="AG203" i="9"/>
  <c r="AG152" i="9"/>
  <c r="AG73" i="9"/>
  <c r="AG155" i="9"/>
  <c r="AG211" i="9"/>
  <c r="AG179" i="9"/>
  <c r="AG205" i="9"/>
  <c r="AG227" i="9"/>
  <c r="AG219" i="9"/>
  <c r="AG226" i="9"/>
  <c r="AG242" i="9"/>
  <c r="AG169" i="9"/>
  <c r="AG43" i="9"/>
  <c r="AG38" i="9"/>
  <c r="AG55" i="9"/>
  <c r="AG41" i="9"/>
  <c r="AG44" i="9"/>
  <c r="AG52" i="9"/>
  <c r="AG128" i="9"/>
  <c r="AG129" i="9"/>
  <c r="AG51" i="9"/>
  <c r="AG26" i="9"/>
  <c r="AG16" i="9"/>
  <c r="AG100" i="9"/>
  <c r="AG185" i="9"/>
  <c r="AG143" i="9"/>
  <c r="AG112" i="9"/>
  <c r="AG61" i="9"/>
  <c r="AG131" i="9"/>
  <c r="AG54" i="9"/>
  <c r="AG141" i="9"/>
  <c r="AG190" i="9"/>
  <c r="AG236" i="9"/>
  <c r="AG186" i="9"/>
  <c r="AG209" i="9"/>
  <c r="AG35" i="9"/>
  <c r="AG193" i="9"/>
  <c r="AG163" i="9"/>
  <c r="AG159" i="9"/>
  <c r="AG139" i="9"/>
  <c r="AG218" i="9"/>
  <c r="AG202" i="9"/>
  <c r="AG181" i="9"/>
  <c r="AG224" i="9"/>
  <c r="AG89" i="9"/>
  <c r="AG106" i="9"/>
  <c r="AG136" i="9"/>
  <c r="AG84" i="9"/>
  <c r="AG14" i="9"/>
  <c r="AG204" i="9"/>
  <c r="AG239" i="9"/>
  <c r="AG246" i="9"/>
  <c r="AG240" i="9"/>
  <c r="AG238" i="9"/>
  <c r="AG72" i="9"/>
  <c r="AG116" i="9"/>
  <c r="AG198" i="9"/>
  <c r="AG108" i="9"/>
  <c r="AG164" i="9"/>
  <c r="AG68" i="9"/>
  <c r="AG74" i="9"/>
  <c r="AG237" i="9"/>
  <c r="AG180" i="9"/>
  <c r="AG123" i="9"/>
  <c r="AG132" i="9"/>
  <c r="AG157" i="9"/>
  <c r="AG114" i="9"/>
  <c r="AG208" i="9"/>
  <c r="AG215" i="9"/>
  <c r="AG60" i="9"/>
  <c r="AG121" i="9"/>
  <c r="AG247" i="9"/>
  <c r="AG248" i="9"/>
  <c r="AG146" i="9"/>
  <c r="AG115" i="9"/>
  <c r="AG167" i="9"/>
  <c r="AG154" i="9"/>
  <c r="AG206" i="9"/>
  <c r="AG207" i="9"/>
  <c r="AG192" i="9"/>
  <c r="AG214" i="9"/>
  <c r="AG67" i="9"/>
  <c r="AG124" i="9"/>
  <c r="AG122" i="9"/>
  <c r="AG200" i="9"/>
  <c r="AG191" i="9"/>
  <c r="AG36" i="9"/>
  <c r="AG213" i="9"/>
  <c r="AG64" i="9"/>
  <c r="AG150" i="9"/>
  <c r="AG145" i="9"/>
  <c r="AG148" i="9"/>
  <c r="AG113" i="9"/>
  <c r="AG126" i="9"/>
  <c r="AG221" i="9"/>
  <c r="AG223" i="9"/>
  <c r="AG197" i="9"/>
  <c r="AG104" i="9"/>
  <c r="AG107" i="9"/>
  <c r="AG63" i="9"/>
  <c r="AG188" i="9"/>
  <c r="AG168" i="9"/>
  <c r="AG175" i="9"/>
  <c r="AG231" i="9"/>
  <c r="AG76" i="9"/>
  <c r="AG187" i="9"/>
  <c r="AG75" i="9"/>
  <c r="AG166" i="9"/>
  <c r="AG103" i="9"/>
  <c r="AG158" i="9"/>
  <c r="AG245" i="9"/>
  <c r="AG147" i="9"/>
  <c r="AG216" i="9"/>
  <c r="AG34" i="9"/>
  <c r="AG199" i="9"/>
  <c r="AG153" i="9"/>
  <c r="AG176" i="9"/>
  <c r="AG160" i="9"/>
  <c r="AG134" i="9"/>
  <c r="AG230" i="9"/>
  <c r="AG174" i="9"/>
  <c r="AG172" i="9"/>
  <c r="AG184" i="9"/>
  <c r="AG182" i="9"/>
  <c r="AG183" i="9"/>
  <c r="AG229" i="9"/>
  <c r="AG232" i="9"/>
  <c r="AG222" i="9"/>
  <c r="AG140" i="9"/>
  <c r="C10" i="12" l="1"/>
  <c r="C27" i="12"/>
  <c r="C20" i="12"/>
  <c r="D20" i="12" s="1"/>
  <c r="C13" i="12"/>
  <c r="C11" i="12"/>
  <c r="C23" i="12"/>
  <c r="C24" i="12"/>
  <c r="C6" i="12"/>
  <c r="C18" i="12"/>
  <c r="C25" i="12"/>
  <c r="C17" i="12"/>
  <c r="C19" i="12"/>
  <c r="C30" i="12"/>
  <c r="C9" i="12"/>
  <c r="C29" i="12"/>
  <c r="C4" i="12"/>
  <c r="C22" i="12"/>
  <c r="C31" i="12"/>
  <c r="C8" i="12"/>
  <c r="C21" i="12"/>
  <c r="C14" i="12"/>
  <c r="C12" i="12"/>
  <c r="D12" i="12" s="1"/>
  <c r="AG18" i="11"/>
  <c r="AG17" i="11"/>
  <c r="AG20" i="11"/>
  <c r="AG15" i="11"/>
  <c r="K59" i="5"/>
  <c r="AG19" i="11"/>
  <c r="AG16" i="11"/>
  <c r="D7" i="12"/>
  <c r="E7" i="12"/>
  <c r="D5" i="12"/>
  <c r="E5" i="12"/>
  <c r="B72" i="5"/>
  <c r="C28" i="12" s="1"/>
  <c r="B77" i="5"/>
  <c r="C33" i="12" s="1"/>
  <c r="B76" i="5"/>
  <c r="C32" i="12" s="1"/>
  <c r="AG6" i="11"/>
  <c r="B60" i="5"/>
  <c r="C16" i="12" s="1"/>
  <c r="AG10" i="11"/>
  <c r="B70" i="5"/>
  <c r="C26" i="12" s="1"/>
  <c r="AG11" i="11"/>
  <c r="AG8" i="11"/>
  <c r="AG12" i="11"/>
  <c r="AG9" i="11"/>
  <c r="AG13" i="11"/>
  <c r="AG14" i="11"/>
  <c r="AG7" i="11"/>
  <c r="AJ7" i="9"/>
  <c r="E12" i="12" l="1"/>
  <c r="E20" i="12"/>
  <c r="D19" i="12"/>
  <c r="E19" i="12"/>
  <c r="D18" i="12"/>
  <c r="E18" i="12"/>
  <c r="D26" i="12"/>
  <c r="E26" i="12"/>
  <c r="D6" i="12"/>
  <c r="E6" i="12"/>
  <c r="D9" i="12"/>
  <c r="E9" i="12"/>
  <c r="D24" i="12"/>
  <c r="E24" i="12"/>
  <c r="D17" i="12"/>
  <c r="E17" i="12"/>
  <c r="D13" i="12"/>
  <c r="E13" i="12"/>
  <c r="D25" i="12"/>
  <c r="E25" i="12"/>
  <c r="D11" i="12"/>
  <c r="E11" i="12"/>
  <c r="D4" i="12"/>
  <c r="E4" i="12"/>
  <c r="D32" i="12"/>
  <c r="E32" i="12"/>
  <c r="D8" i="12"/>
  <c r="E8" i="12"/>
  <c r="D15" i="12"/>
  <c r="E15" i="12"/>
  <c r="D14" i="12"/>
  <c r="E14" i="12"/>
  <c r="D22" i="12"/>
  <c r="E22" i="12"/>
  <c r="D31" i="12"/>
  <c r="E31" i="12"/>
  <c r="D33" i="12"/>
  <c r="E33" i="12"/>
  <c r="D27" i="12"/>
  <c r="E27" i="12"/>
  <c r="D16" i="12"/>
  <c r="E16" i="12"/>
  <c r="D10" i="12"/>
  <c r="E10" i="12"/>
  <c r="D28" i="12"/>
  <c r="E28" i="12"/>
  <c r="D29" i="12"/>
  <c r="E29" i="12"/>
  <c r="D30" i="12"/>
  <c r="E30" i="12"/>
  <c r="D23" i="12"/>
  <c r="E23" i="12"/>
  <c r="D21" i="12"/>
  <c r="E21" i="12"/>
  <c r="M6" i="4"/>
  <c r="C100" i="5" l="1"/>
  <c r="D100" i="5" s="1"/>
  <c r="C5" i="14" s="1"/>
  <c r="C103" i="5"/>
  <c r="D103" i="5" s="1"/>
  <c r="C8" i="14" s="1"/>
  <c r="C105" i="5"/>
  <c r="D105" i="5" s="1"/>
  <c r="C10" i="14" s="1"/>
  <c r="C107" i="5"/>
  <c r="D107" i="5" s="1"/>
  <c r="C12" i="14" s="1"/>
  <c r="C102" i="5"/>
  <c r="D102" i="5" s="1"/>
  <c r="C7" i="14" s="1"/>
  <c r="C101" i="5"/>
  <c r="D101" i="5" s="1"/>
  <c r="C6" i="14" s="1"/>
  <c r="C108" i="5"/>
  <c r="D108" i="5" s="1"/>
  <c r="C13" i="14" s="1"/>
  <c r="C99" i="5"/>
  <c r="D99" i="5" s="1"/>
  <c r="C4" i="14" s="1"/>
  <c r="C106" i="5"/>
  <c r="D106" i="5" s="1"/>
  <c r="C11" i="14" s="1"/>
  <c r="C104" i="5"/>
  <c r="D104" i="5" s="1"/>
  <c r="C9" i="14" s="1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F5" i="3" l="1"/>
  <c r="AF197" i="3"/>
  <c r="AF233" i="3"/>
  <c r="AF89" i="3"/>
  <c r="AF86" i="3"/>
  <c r="AF125" i="3"/>
  <c r="AF164" i="3"/>
  <c r="AF182" i="3"/>
  <c r="AF227" i="3"/>
  <c r="AF212" i="3"/>
  <c r="AF188" i="3"/>
  <c r="AF140" i="3"/>
  <c r="AF116" i="3"/>
  <c r="AF149" i="3"/>
  <c r="AF242" i="3"/>
  <c r="AF194" i="3"/>
  <c r="AF170" i="3"/>
  <c r="AF122" i="3"/>
  <c r="AF98" i="3"/>
  <c r="AF110" i="3"/>
  <c r="AF137" i="3"/>
  <c r="AF191" i="3"/>
  <c r="AF236" i="3"/>
  <c r="AF185" i="3"/>
  <c r="AF203" i="3"/>
  <c r="AF131" i="3"/>
  <c r="AF92" i="3"/>
  <c r="AF245" i="3"/>
  <c r="AF155" i="3"/>
  <c r="AF173" i="3"/>
  <c r="AF218" i="3"/>
  <c r="AF113" i="3"/>
  <c r="AF239" i="3"/>
  <c r="AF215" i="3"/>
  <c r="AF167" i="3"/>
  <c r="AF143" i="3"/>
  <c r="AF95" i="3"/>
  <c r="AF101" i="3"/>
  <c r="AF128" i="3"/>
  <c r="AF161" i="3"/>
  <c r="AF146" i="3"/>
  <c r="AF200" i="3"/>
  <c r="AF209" i="3"/>
  <c r="AF224" i="3"/>
  <c r="AF176" i="3"/>
  <c r="AF152" i="3"/>
  <c r="AF104" i="3"/>
  <c r="AF221" i="3"/>
  <c r="AF230" i="3"/>
  <c r="AF206" i="3"/>
  <c r="AF158" i="3"/>
  <c r="AF134" i="3"/>
  <c r="AF119" i="3"/>
  <c r="AF179" i="3"/>
  <c r="AF107" i="3"/>
  <c r="AF165" i="3"/>
  <c r="AF189" i="3"/>
  <c r="AF246" i="3"/>
  <c r="AF117" i="3"/>
  <c r="AF201" i="3"/>
  <c r="AF219" i="3"/>
  <c r="AF120" i="3"/>
  <c r="AF177" i="3"/>
  <c r="AF240" i="3"/>
  <c r="AF168" i="3"/>
  <c r="AF96" i="3"/>
  <c r="AF243" i="3"/>
  <c r="AF171" i="3"/>
  <c r="AF99" i="3"/>
  <c r="AF213" i="3"/>
  <c r="AF222" i="3"/>
  <c r="AF150" i="3"/>
  <c r="AF129" i="3"/>
  <c r="AF105" i="3"/>
  <c r="AF147" i="3"/>
  <c r="AF156" i="3"/>
  <c r="AF225" i="3"/>
  <c r="AF192" i="3"/>
  <c r="AF210" i="3"/>
  <c r="AF111" i="3"/>
  <c r="AF180" i="3"/>
  <c r="AF108" i="3"/>
  <c r="AF195" i="3"/>
  <c r="AF123" i="3"/>
  <c r="AF234" i="3"/>
  <c r="AF162" i="3"/>
  <c r="AF144" i="3"/>
  <c r="AF231" i="3"/>
  <c r="AF159" i="3"/>
  <c r="AF87" i="3"/>
  <c r="AF198" i="3"/>
  <c r="AF126" i="3"/>
  <c r="AF138" i="3"/>
  <c r="AF183" i="3"/>
  <c r="AF237" i="3"/>
  <c r="AF93" i="3"/>
  <c r="AF102" i="3"/>
  <c r="AF204" i="3"/>
  <c r="AF132" i="3"/>
  <c r="AF207" i="3"/>
  <c r="AF135" i="3"/>
  <c r="AF141" i="3"/>
  <c r="AF186" i="3"/>
  <c r="AF114" i="3"/>
  <c r="AF90" i="3"/>
  <c r="AF153" i="3"/>
  <c r="AF174" i="3"/>
  <c r="AF228" i="3"/>
  <c r="AF216" i="3"/>
  <c r="AF193" i="3"/>
  <c r="AF175" i="3"/>
  <c r="AF109" i="3"/>
  <c r="AF217" i="3"/>
  <c r="AF181" i="3"/>
  <c r="AF238" i="3"/>
  <c r="AF94" i="3"/>
  <c r="AF112" i="3"/>
  <c r="AF157" i="3"/>
  <c r="AF223" i="3"/>
  <c r="AF199" i="3"/>
  <c r="AF151" i="3"/>
  <c r="AF127" i="3"/>
  <c r="AF145" i="3"/>
  <c r="AF211" i="3"/>
  <c r="AF244" i="3"/>
  <c r="AF196" i="3"/>
  <c r="AF124" i="3"/>
  <c r="AF178" i="3"/>
  <c r="AF106" i="3"/>
  <c r="AF202" i="3"/>
  <c r="AF229" i="3"/>
  <c r="AF247" i="3"/>
  <c r="AF103" i="3"/>
  <c r="AF148" i="3"/>
  <c r="AF169" i="3"/>
  <c r="AF232" i="3"/>
  <c r="AF208" i="3"/>
  <c r="AF160" i="3"/>
  <c r="AF136" i="3"/>
  <c r="AF88" i="3"/>
  <c r="AF205" i="3"/>
  <c r="AF214" i="3"/>
  <c r="AF190" i="3"/>
  <c r="AF142" i="3"/>
  <c r="AF118" i="3"/>
  <c r="AF184" i="3"/>
  <c r="AF220" i="3"/>
  <c r="AF130" i="3"/>
  <c r="AF139" i="3"/>
  <c r="AF133" i="3"/>
  <c r="AF97" i="3"/>
  <c r="AF235" i="3"/>
  <c r="AF187" i="3"/>
  <c r="AF163" i="3"/>
  <c r="AF115" i="3"/>
  <c r="AF91" i="3"/>
  <c r="AF121" i="3"/>
  <c r="AF166" i="3"/>
  <c r="AF241" i="3"/>
  <c r="AF172" i="3"/>
  <c r="AF100" i="3"/>
  <c r="AF226" i="3"/>
  <c r="AF154" i="3"/>
  <c r="AF13" i="3"/>
  <c r="AF33" i="3"/>
  <c r="AF61" i="3"/>
  <c r="AF12" i="3"/>
  <c r="AF8" i="3"/>
  <c r="AF84" i="3"/>
  <c r="AF80" i="3"/>
  <c r="AF76" i="3"/>
  <c r="AF72" i="3"/>
  <c r="AF68" i="3"/>
  <c r="AF64" i="3"/>
  <c r="AF60" i="3"/>
  <c r="AF56" i="3"/>
  <c r="AF52" i="3"/>
  <c r="AF48" i="3"/>
  <c r="AF44" i="3"/>
  <c r="AF40" i="3"/>
  <c r="AF36" i="3"/>
  <c r="AF32" i="3"/>
  <c r="AF28" i="3"/>
  <c r="AF24" i="3"/>
  <c r="AF20" i="3"/>
  <c r="AF16" i="3"/>
  <c r="AF11" i="3"/>
  <c r="AF7" i="3"/>
  <c r="AF83" i="3"/>
  <c r="AF79" i="3"/>
  <c r="AF75" i="3"/>
  <c r="AF71" i="3"/>
  <c r="AF67" i="3"/>
  <c r="AF63" i="3"/>
  <c r="AF59" i="3"/>
  <c r="AF55" i="3"/>
  <c r="AF51" i="3"/>
  <c r="AF47" i="3"/>
  <c r="AF43" i="3"/>
  <c r="AF39" i="3"/>
  <c r="AF35" i="3"/>
  <c r="AF31" i="3"/>
  <c r="AF27" i="3"/>
  <c r="AF23" i="3"/>
  <c r="AF19" i="3"/>
  <c r="AF15" i="3"/>
  <c r="AF10" i="3"/>
  <c r="AF6" i="3"/>
  <c r="AF82" i="3"/>
  <c r="AF78" i="3"/>
  <c r="AF74" i="3"/>
  <c r="AF70" i="3"/>
  <c r="AF66" i="3"/>
  <c r="AF62" i="3"/>
  <c r="AF58" i="3"/>
  <c r="AF54" i="3"/>
  <c r="AF50" i="3"/>
  <c r="AF46" i="3"/>
  <c r="AF42" i="3"/>
  <c r="AF38" i="3"/>
  <c r="AF34" i="3"/>
  <c r="AF30" i="3"/>
  <c r="AF26" i="3"/>
  <c r="AF22" i="3"/>
  <c r="AF18" i="3"/>
  <c r="AF14" i="3"/>
  <c r="AF9" i="3"/>
  <c r="AF85" i="3"/>
  <c r="AF81" i="3"/>
  <c r="AF77" i="3"/>
  <c r="AF73" i="3"/>
  <c r="AF69" i="3"/>
  <c r="AF65" i="3"/>
  <c r="AF57" i="3"/>
  <c r="AF53" i="3"/>
  <c r="AF49" i="3"/>
  <c r="AF45" i="3"/>
  <c r="AF41" i="3"/>
  <c r="AF37" i="3"/>
  <c r="AF29" i="3"/>
  <c r="AF25" i="3"/>
  <c r="AF21" i="3"/>
  <c r="AF17" i="3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" i="1"/>
  <c r="M10" i="4"/>
  <c r="K14" i="4"/>
  <c r="G14" i="4"/>
  <c r="L14" i="4"/>
  <c r="J14" i="4"/>
  <c r="I14" i="4"/>
  <c r="H14" i="4"/>
  <c r="F14" i="4"/>
  <c r="E14" i="4"/>
  <c r="D14" i="4"/>
  <c r="D5" i="6" l="1"/>
  <c r="I26" i="5" s="1"/>
  <c r="F11" i="6"/>
  <c r="F6" i="6"/>
  <c r="G10" i="6"/>
  <c r="G6" i="6"/>
  <c r="F9" i="6"/>
  <c r="G11" i="6"/>
  <c r="F5" i="6"/>
  <c r="F3" i="6"/>
  <c r="F10" i="6"/>
  <c r="G9" i="6"/>
  <c r="G5" i="6"/>
  <c r="F8" i="6"/>
  <c r="G7" i="6"/>
  <c r="F4" i="6"/>
  <c r="G12" i="6"/>
  <c r="G8" i="6"/>
  <c r="G4" i="6"/>
  <c r="F7" i="6"/>
  <c r="F12" i="6"/>
  <c r="G3" i="6"/>
  <c r="I15" i="5"/>
  <c r="F15" i="5"/>
  <c r="H15" i="5"/>
  <c r="G15" i="5"/>
  <c r="E15" i="5"/>
  <c r="D15" i="5"/>
  <c r="J15" i="5"/>
  <c r="K15" i="5"/>
  <c r="C15" i="5"/>
  <c r="D3" i="6"/>
  <c r="I24" i="5" s="1"/>
  <c r="C3" i="6"/>
  <c r="H3" i="6"/>
  <c r="E3" i="6"/>
  <c r="H5" i="6"/>
  <c r="C4" i="6"/>
  <c r="H11" i="6"/>
  <c r="D9" i="6"/>
  <c r="I30" i="5" s="1"/>
  <c r="D11" i="6"/>
  <c r="I32" i="5" s="1"/>
  <c r="H7" i="6"/>
  <c r="H9" i="6"/>
  <c r="D7" i="6"/>
  <c r="I28" i="5" s="1"/>
  <c r="E12" i="6"/>
  <c r="C11" i="6"/>
  <c r="E10" i="6"/>
  <c r="C9" i="6"/>
  <c r="E8" i="6"/>
  <c r="C7" i="6"/>
  <c r="E6" i="6"/>
  <c r="C5" i="6"/>
  <c r="E4" i="6"/>
  <c r="H12" i="6"/>
  <c r="D12" i="6"/>
  <c r="I33" i="5" s="1"/>
  <c r="H10" i="6"/>
  <c r="D10" i="6"/>
  <c r="I31" i="5" s="1"/>
  <c r="H8" i="6"/>
  <c r="D8" i="6"/>
  <c r="I29" i="5" s="1"/>
  <c r="H6" i="6"/>
  <c r="D6" i="6"/>
  <c r="I27" i="5" s="1"/>
  <c r="H4" i="6"/>
  <c r="D4" i="6"/>
  <c r="I25" i="5" s="1"/>
  <c r="C12" i="6"/>
  <c r="E11" i="6"/>
  <c r="C10" i="6"/>
  <c r="E9" i="6"/>
  <c r="C8" i="6"/>
  <c r="E7" i="6"/>
  <c r="C6" i="6"/>
  <c r="E5" i="6"/>
  <c r="H18" i="5"/>
  <c r="C14" i="4"/>
  <c r="B15" i="5" s="1"/>
  <c r="M11" i="4"/>
  <c r="M7" i="4"/>
  <c r="E18" i="5" s="1"/>
  <c r="D18" i="5"/>
  <c r="M12" i="4"/>
  <c r="J18" i="5" s="1"/>
  <c r="M8" i="4"/>
  <c r="F18" i="5" s="1"/>
  <c r="M9" i="4"/>
  <c r="G18" i="5" s="1"/>
  <c r="C18" i="5"/>
  <c r="M13" i="4"/>
  <c r="M4" i="4"/>
  <c r="Q11" i="4" l="1"/>
  <c r="Q7" i="4"/>
  <c r="Q5" i="4"/>
  <c r="Q6" i="4"/>
  <c r="Q12" i="4"/>
  <c r="Q9" i="4"/>
  <c r="Q10" i="4"/>
  <c r="Q8" i="4"/>
  <c r="Q4" i="4"/>
  <c r="Q13" i="4"/>
  <c r="B18" i="5"/>
  <c r="P4" i="4"/>
  <c r="P5" i="4"/>
  <c r="P11" i="4"/>
  <c r="E16" i="5"/>
  <c r="I16" i="5"/>
  <c r="B16" i="5"/>
  <c r="F16" i="5"/>
  <c r="J16" i="5"/>
  <c r="D16" i="5"/>
  <c r="C16" i="5"/>
  <c r="G16" i="5"/>
  <c r="K16" i="5"/>
  <c r="B17" i="5"/>
  <c r="C17" i="5" s="1"/>
  <c r="D17" i="5" s="1"/>
  <c r="E17" i="5" s="1"/>
  <c r="F17" i="5" s="1"/>
  <c r="G17" i="5" s="1"/>
  <c r="H17" i="5" s="1"/>
  <c r="I17" i="5" s="1"/>
  <c r="J17" i="5" s="1"/>
  <c r="K17" i="5" s="1"/>
  <c r="L17" i="5" s="1"/>
  <c r="H16" i="5"/>
  <c r="L16" i="5"/>
  <c r="I18" i="5"/>
  <c r="P6" i="4"/>
  <c r="R6" i="4" s="1"/>
  <c r="J5" i="6" s="1"/>
  <c r="P10" i="4"/>
  <c r="P12" i="4"/>
  <c r="P8" i="4"/>
  <c r="P9" i="4"/>
  <c r="P13" i="4"/>
  <c r="P7" i="4"/>
  <c r="K18" i="5"/>
  <c r="M16" i="4"/>
  <c r="R7" i="4" l="1"/>
  <c r="J6" i="6" s="1"/>
  <c r="B39" i="5" s="1"/>
  <c r="R9" i="4"/>
  <c r="J8" i="6" s="1"/>
  <c r="B41" i="5" s="1"/>
  <c r="R13" i="4"/>
  <c r="J12" i="6" s="1"/>
  <c r="B45" i="5" s="1"/>
  <c r="R10" i="4"/>
  <c r="J9" i="6" s="1"/>
  <c r="B42" i="5" s="1"/>
  <c r="R5" i="4"/>
  <c r="J4" i="6" s="1"/>
  <c r="B37" i="5" s="1"/>
  <c r="R4" i="4"/>
  <c r="J3" i="6" s="1"/>
  <c r="B24" i="5" s="1"/>
  <c r="R12" i="4"/>
  <c r="J11" i="6" s="1"/>
  <c r="B44" i="5" s="1"/>
  <c r="R11" i="4"/>
  <c r="J10" i="6" s="1"/>
  <c r="B43" i="5" s="1"/>
  <c r="R8" i="4"/>
  <c r="J7" i="6" s="1"/>
  <c r="B40" i="5" s="1"/>
  <c r="B20" i="5"/>
  <c r="B19" i="5" s="1"/>
  <c r="B38" i="5"/>
  <c r="B25" i="5" l="1"/>
  <c r="D25" i="5" s="1"/>
  <c r="A24" i="5"/>
  <c r="E24" i="5" s="1"/>
  <c r="B36" i="5"/>
  <c r="C20" i="5"/>
  <c r="C19" i="5" s="1"/>
  <c r="D24" i="5"/>
  <c r="B26" i="5" l="1"/>
  <c r="B27" i="5" s="1"/>
  <c r="B28" i="5" s="1"/>
  <c r="C24" i="5"/>
  <c r="J24" i="5" s="1"/>
  <c r="A25" i="5"/>
  <c r="C25" i="5" s="1"/>
  <c r="J25" i="5" s="1"/>
  <c r="D20" i="5"/>
  <c r="D19" i="5" s="1"/>
  <c r="G24" i="5"/>
  <c r="E20" i="5" l="1"/>
  <c r="F20" i="5" s="1"/>
  <c r="D26" i="5"/>
  <c r="A26" i="5"/>
  <c r="E26" i="5" s="1"/>
  <c r="E25" i="5"/>
  <c r="G25" i="5" s="1"/>
  <c r="D28" i="5"/>
  <c r="B29" i="5"/>
  <c r="D27" i="5"/>
  <c r="E19" i="5" l="1"/>
  <c r="A27" i="5"/>
  <c r="C27" i="5" s="1"/>
  <c r="C26" i="5"/>
  <c r="G26" i="5"/>
  <c r="B30" i="5"/>
  <c r="D29" i="5"/>
  <c r="G20" i="5"/>
  <c r="F19" i="5"/>
  <c r="A28" i="5" l="1"/>
  <c r="A29" i="5" s="1"/>
  <c r="E27" i="5"/>
  <c r="G27" i="5" s="1"/>
  <c r="B31" i="5"/>
  <c r="B32" i="5" s="1"/>
  <c r="D30" i="5"/>
  <c r="H20" i="5"/>
  <c r="G19" i="5"/>
  <c r="E28" i="5" l="1"/>
  <c r="G28" i="5" s="1"/>
  <c r="C28" i="5"/>
  <c r="C29" i="5"/>
  <c r="E29" i="5"/>
  <c r="A30" i="5"/>
  <c r="C30" i="5" s="1"/>
  <c r="D32" i="5"/>
  <c r="B33" i="5"/>
  <c r="D33" i="5" s="1"/>
  <c r="D31" i="5"/>
  <c r="I20" i="5"/>
  <c r="H19" i="5"/>
  <c r="G29" i="5" l="1"/>
  <c r="K12" i="7"/>
  <c r="K14" i="7"/>
  <c r="K15" i="7"/>
  <c r="K16" i="7"/>
  <c r="K13" i="7"/>
  <c r="K18" i="7"/>
  <c r="K17" i="7"/>
  <c r="E30" i="5"/>
  <c r="G30" i="5" s="1"/>
  <c r="A31" i="5"/>
  <c r="J20" i="5"/>
  <c r="I19" i="5"/>
  <c r="E31" i="5" l="1"/>
  <c r="A32" i="5"/>
  <c r="C32" i="5" s="1"/>
  <c r="C31" i="5"/>
  <c r="K20" i="5"/>
  <c r="J19" i="5"/>
  <c r="G31" i="5" l="1"/>
  <c r="E32" i="5"/>
  <c r="G32" i="5" s="1"/>
  <c r="A33" i="5"/>
  <c r="L20" i="5"/>
  <c r="K19" i="5"/>
  <c r="C33" i="5" l="1"/>
  <c r="K3" i="7" s="1"/>
  <c r="E33" i="5"/>
  <c r="L19" i="5"/>
  <c r="G33" i="5" l="1"/>
  <c r="C4" i="2" s="1"/>
  <c r="B4" i="12" s="1"/>
  <c r="B99" i="5" s="1"/>
  <c r="B4" i="14" s="1"/>
  <c r="C10" i="2" l="1"/>
  <c r="B10" i="12" s="1"/>
  <c r="B101" i="5" s="1"/>
  <c r="B6" i="14" s="1"/>
  <c r="C7" i="2"/>
  <c r="B7" i="12" s="1"/>
  <c r="B100" i="5" s="1"/>
  <c r="B5" i="14" s="1"/>
  <c r="C16" i="2"/>
  <c r="B16" i="12" s="1"/>
  <c r="B103" i="5" s="1"/>
  <c r="B8" i="14" s="1"/>
  <c r="C13" i="2"/>
  <c r="B13" i="12" s="1"/>
  <c r="B102" i="5" s="1"/>
  <c r="B7" i="14" s="1"/>
  <c r="C28" i="2"/>
  <c r="B28" i="12" s="1"/>
  <c r="B107" i="5" s="1"/>
  <c r="B12" i="14" s="1"/>
  <c r="C31" i="2"/>
  <c r="B31" i="12" s="1"/>
  <c r="B108" i="5" s="1"/>
  <c r="B13" i="14" s="1"/>
  <c r="K19" i="7"/>
  <c r="K4" i="7"/>
  <c r="K6" i="7"/>
  <c r="K5" i="7"/>
  <c r="K9" i="7"/>
  <c r="K10" i="7"/>
  <c r="K7" i="7"/>
  <c r="K8" i="7"/>
  <c r="C25" i="2"/>
  <c r="B25" i="12" s="1"/>
  <c r="B106" i="5" s="1"/>
  <c r="B11" i="14" s="1"/>
  <c r="C19" i="2"/>
  <c r="B19" i="12" s="1"/>
  <c r="B104" i="5" s="1"/>
  <c r="B9" i="14" s="1"/>
  <c r="C22" i="2"/>
  <c r="B22" i="12" s="1"/>
  <c r="B105" i="5" s="1"/>
  <c r="B10" i="14" s="1"/>
</calcChain>
</file>

<file path=xl/sharedStrings.xml><?xml version="1.0" encoding="utf-8"?>
<sst xmlns="http://schemas.openxmlformats.org/spreadsheetml/2006/main" count="3051" uniqueCount="432">
  <si>
    <t>Descripción</t>
  </si>
  <si>
    <t>DOFA</t>
  </si>
  <si>
    <t xml:space="preserve">Nombre de la variable </t>
  </si>
  <si>
    <t>Hipotesis</t>
  </si>
  <si>
    <t>Escenario 1</t>
  </si>
  <si>
    <t>Probabilidad del escenario</t>
  </si>
  <si>
    <t>Ranking</t>
  </si>
  <si>
    <t>alto</t>
  </si>
  <si>
    <t>medio</t>
  </si>
  <si>
    <t>bajo</t>
  </si>
  <si>
    <t>nulo</t>
  </si>
  <si>
    <t>BAJA</t>
  </si>
  <si>
    <t>MEDIA</t>
  </si>
  <si>
    <t>ALTA</t>
  </si>
  <si>
    <t>INFLUENCIA</t>
  </si>
  <si>
    <t>DEPENDENCIA</t>
  </si>
  <si>
    <t>Matriz de impactos cruzados</t>
  </si>
  <si>
    <t>Factor</t>
  </si>
  <si>
    <t>Nombre Variable</t>
  </si>
  <si>
    <t>Magnitud del impacto</t>
  </si>
  <si>
    <t>No</t>
  </si>
  <si>
    <t>Resultados Potenciales</t>
  </si>
  <si>
    <t>Probabilidad del Resultado</t>
  </si>
  <si>
    <t>Magnitud</t>
  </si>
  <si>
    <t>Económico</t>
  </si>
  <si>
    <t>Social</t>
  </si>
  <si>
    <t>Ecológico</t>
  </si>
  <si>
    <t>Legal</t>
  </si>
  <si>
    <t>Interno</t>
  </si>
  <si>
    <t>Político</t>
  </si>
  <si>
    <t>D</t>
  </si>
  <si>
    <t>O</t>
  </si>
  <si>
    <t>F</t>
  </si>
  <si>
    <t>A</t>
  </si>
  <si>
    <t>Tecnológico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</si>
  <si>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</si>
  <si>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</si>
  <si>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</si>
  <si>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</si>
  <si>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</si>
  <si>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</si>
  <si>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</si>
  <si>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</si>
  <si>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</si>
  <si>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</si>
  <si>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Influencia</t>
  </si>
  <si>
    <t>Dependencia</t>
  </si>
  <si>
    <t>Max</t>
  </si>
  <si>
    <t>Matriz de Hipotesis</t>
  </si>
  <si>
    <t>Matriz de Escenarios</t>
  </si>
  <si>
    <t>Escenarios</t>
  </si>
  <si>
    <t>Escenario 2</t>
  </si>
  <si>
    <t>Escenario 3</t>
  </si>
  <si>
    <t>Escenario 4</t>
  </si>
  <si>
    <t>Escenario 5</t>
  </si>
  <si>
    <t>Escenario 6</t>
  </si>
  <si>
    <t>Escenario 7</t>
  </si>
  <si>
    <t>Escenario 8</t>
  </si>
  <si>
    <t>Escenario 9</t>
  </si>
  <si>
    <t>Escenario 10</t>
  </si>
  <si>
    <t>Escenario 11</t>
  </si>
  <si>
    <t>Escenario 12</t>
  </si>
  <si>
    <t>Escenario 13</t>
  </si>
  <si>
    <t>Escenario 14</t>
  </si>
  <si>
    <t>Escenario 15</t>
  </si>
  <si>
    <t>Escenario 16</t>
  </si>
  <si>
    <t>Escenario 17</t>
  </si>
  <si>
    <t>Escenario 18</t>
  </si>
  <si>
    <t>Escenario 19</t>
  </si>
  <si>
    <t>Escenario 20</t>
  </si>
  <si>
    <t>Probabilidad</t>
  </si>
  <si>
    <t>Escenario 21</t>
  </si>
  <si>
    <t>Escenario 22</t>
  </si>
  <si>
    <t>Escenario 23</t>
  </si>
  <si>
    <t>Escenario 24</t>
  </si>
  <si>
    <t>Escenario 25</t>
  </si>
  <si>
    <t>Escenario 26</t>
  </si>
  <si>
    <t>Escenario 27</t>
  </si>
  <si>
    <t>Escenario 28</t>
  </si>
  <si>
    <t>Escenario 29</t>
  </si>
  <si>
    <t>Escenario 30</t>
  </si>
  <si>
    <t>Escenario 31</t>
  </si>
  <si>
    <t>Escenario 32</t>
  </si>
  <si>
    <t>Escenario 33</t>
  </si>
  <si>
    <t>Escenario 34</t>
  </si>
  <si>
    <t>Escenario 35</t>
  </si>
  <si>
    <t>Escenario 36</t>
  </si>
  <si>
    <t>Escenario 37</t>
  </si>
  <si>
    <t>Escenario 38</t>
  </si>
  <si>
    <t>Escenario 39</t>
  </si>
  <si>
    <t>Escenario 40</t>
  </si>
  <si>
    <t>Escenario 41</t>
  </si>
  <si>
    <t>Escenario 42</t>
  </si>
  <si>
    <t>Escenario 43</t>
  </si>
  <si>
    <t>Escenario 44</t>
  </si>
  <si>
    <t>Escenario 45</t>
  </si>
  <si>
    <t>Escenario 46</t>
  </si>
  <si>
    <t>Escenario 47</t>
  </si>
  <si>
    <t>Escenario 48</t>
  </si>
  <si>
    <t>Escenario 49</t>
  </si>
  <si>
    <t>Escenario 50</t>
  </si>
  <si>
    <t>Escenario 51</t>
  </si>
  <si>
    <t>Escenario 52</t>
  </si>
  <si>
    <t>Escenario 53</t>
  </si>
  <si>
    <t>Escenario 54</t>
  </si>
  <si>
    <t>Escenario 55</t>
  </si>
  <si>
    <t>Escenario 56</t>
  </si>
  <si>
    <t>Escenario 57</t>
  </si>
  <si>
    <t>Escenario 58</t>
  </si>
  <si>
    <t>Escenario 59</t>
  </si>
  <si>
    <t>Escenario 60</t>
  </si>
  <si>
    <t>Escenario 61</t>
  </si>
  <si>
    <t>Escenario 62</t>
  </si>
  <si>
    <t>Escenario 63</t>
  </si>
  <si>
    <t>Escenario 64</t>
  </si>
  <si>
    <t>Escenario 65</t>
  </si>
  <si>
    <t>Escenario 66</t>
  </si>
  <si>
    <t>Escenario 67</t>
  </si>
  <si>
    <t>Escenario 68</t>
  </si>
  <si>
    <t>Escenario 69</t>
  </si>
  <si>
    <t>Escenario 70</t>
  </si>
  <si>
    <t>Escenario 71</t>
  </si>
  <si>
    <t>Escenario 72</t>
  </si>
  <si>
    <t>Escenario 73</t>
  </si>
  <si>
    <t>Escenario 74</t>
  </si>
  <si>
    <t>Escenario 75</t>
  </si>
  <si>
    <t>Escenario 76</t>
  </si>
  <si>
    <t>Escenario 77</t>
  </si>
  <si>
    <t>Escenario 78</t>
  </si>
  <si>
    <t>Escenario 79</t>
  </si>
  <si>
    <t>Escenario 80</t>
  </si>
  <si>
    <t>Escenario 81</t>
  </si>
  <si>
    <t>Eje X</t>
  </si>
  <si>
    <t>Eje Y</t>
  </si>
  <si>
    <t>Influencias</t>
  </si>
  <si>
    <t>Dependencias</t>
  </si>
  <si>
    <t xml:space="preserve">Poder </t>
  </si>
  <si>
    <t>Conflicto</t>
  </si>
  <si>
    <t>Variable</t>
  </si>
  <si>
    <t>Variables en la Zona de Poder</t>
  </si>
  <si>
    <t>Variables en la Zona de Conflicto</t>
  </si>
  <si>
    <t>No de hipotesis</t>
  </si>
  <si>
    <t>x</t>
  </si>
  <si>
    <t>X</t>
  </si>
  <si>
    <t>Escenario 82</t>
  </si>
  <si>
    <t>Escenario 83</t>
  </si>
  <si>
    <t>Escenario 84</t>
  </si>
  <si>
    <t>Escenario 85</t>
  </si>
  <si>
    <t>Escenario 86</t>
  </si>
  <si>
    <t>Escenario 87</t>
  </si>
  <si>
    <t>Escenario 88</t>
  </si>
  <si>
    <t>Escenario 89</t>
  </si>
  <si>
    <t>Escenario 90</t>
  </si>
  <si>
    <t>Escenario 91</t>
  </si>
  <si>
    <t>Escenario 92</t>
  </si>
  <si>
    <t>Escenario 93</t>
  </si>
  <si>
    <t>Escenario 94</t>
  </si>
  <si>
    <t>Escenario 95</t>
  </si>
  <si>
    <t>Escenario 96</t>
  </si>
  <si>
    <t>Escenario 97</t>
  </si>
  <si>
    <t>Escenario 98</t>
  </si>
  <si>
    <t>Escenario 99</t>
  </si>
  <si>
    <t>Escenario 100</t>
  </si>
  <si>
    <t>Escenario 101</t>
  </si>
  <si>
    <t>Escenario 102</t>
  </si>
  <si>
    <t>Escenario 103</t>
  </si>
  <si>
    <t>Escenario 104</t>
  </si>
  <si>
    <t>Escenario 105</t>
  </si>
  <si>
    <t>Escenario 106</t>
  </si>
  <si>
    <t>Escenario 107</t>
  </si>
  <si>
    <t>Escenario 108</t>
  </si>
  <si>
    <t>Escenario 109</t>
  </si>
  <si>
    <t>Escenario 110</t>
  </si>
  <si>
    <t>Escenario 111</t>
  </si>
  <si>
    <t>Escenario 112</t>
  </si>
  <si>
    <t>Escenario 113</t>
  </si>
  <si>
    <t>Escenario 114</t>
  </si>
  <si>
    <t>Escenario 115</t>
  </si>
  <si>
    <t>Escenario 116</t>
  </si>
  <si>
    <t>Escenario 117</t>
  </si>
  <si>
    <t>Escenario 118</t>
  </si>
  <si>
    <t>Escenario 119</t>
  </si>
  <si>
    <t>Escenario 120</t>
  </si>
  <si>
    <t>Escenario 121</t>
  </si>
  <si>
    <t>Escenario 122</t>
  </si>
  <si>
    <t>Escenario 123</t>
  </si>
  <si>
    <t>Escenario 124</t>
  </si>
  <si>
    <t>Escenario 125</t>
  </si>
  <si>
    <t>Escenario 126</t>
  </si>
  <si>
    <t>Escenario 127</t>
  </si>
  <si>
    <t>Escenario 128</t>
  </si>
  <si>
    <t>Escenario 129</t>
  </si>
  <si>
    <t>Escenario 130</t>
  </si>
  <si>
    <t>Escenario 131</t>
  </si>
  <si>
    <t>Escenario 132</t>
  </si>
  <si>
    <t>Escenario 133</t>
  </si>
  <si>
    <t>Escenario 134</t>
  </si>
  <si>
    <t>Escenario 135</t>
  </si>
  <si>
    <t>Escenario 136</t>
  </si>
  <si>
    <t>Escenario 137</t>
  </si>
  <si>
    <t>Escenario 138</t>
  </si>
  <si>
    <t>Escenario 139</t>
  </si>
  <si>
    <t>Escenario 140</t>
  </si>
  <si>
    <t>Escenario 141</t>
  </si>
  <si>
    <t>Escenario 142</t>
  </si>
  <si>
    <t>Escenario 143</t>
  </si>
  <si>
    <t>Escenario 144</t>
  </si>
  <si>
    <t>Escenario 145</t>
  </si>
  <si>
    <t>Escenario 146</t>
  </si>
  <si>
    <t>Escenario 147</t>
  </si>
  <si>
    <t>Escenario 148</t>
  </si>
  <si>
    <t>Escenario 149</t>
  </si>
  <si>
    <t>Escenario 150</t>
  </si>
  <si>
    <t>Escenario 151</t>
  </si>
  <si>
    <t>Escenario 152</t>
  </si>
  <si>
    <t>Escenario 153</t>
  </si>
  <si>
    <t>Escenario 154</t>
  </si>
  <si>
    <t>Escenario 155</t>
  </si>
  <si>
    <t>Escenario 156</t>
  </si>
  <si>
    <t>Escenario 157</t>
  </si>
  <si>
    <t>Escenario 158</t>
  </si>
  <si>
    <t>Escenario 159</t>
  </si>
  <si>
    <t>Escenario 160</t>
  </si>
  <si>
    <t>Escenario 161</t>
  </si>
  <si>
    <t>Escenario 162</t>
  </si>
  <si>
    <t>Escenario 163</t>
  </si>
  <si>
    <t>Escenario 164</t>
  </si>
  <si>
    <t>Escenario 165</t>
  </si>
  <si>
    <t>Escenario 166</t>
  </si>
  <si>
    <t>Escenario 167</t>
  </si>
  <si>
    <t>Escenario 168</t>
  </si>
  <si>
    <t>Escenario 169</t>
  </si>
  <si>
    <t>Escenario 170</t>
  </si>
  <si>
    <t>Escenario 171</t>
  </si>
  <si>
    <t>Escenario 172</t>
  </si>
  <si>
    <t>Escenario 173</t>
  </si>
  <si>
    <t>Escenario 174</t>
  </si>
  <si>
    <t>Escenario 175</t>
  </si>
  <si>
    <t>Escenario 176</t>
  </si>
  <si>
    <t>Escenario 177</t>
  </si>
  <si>
    <t>Escenario 178</t>
  </si>
  <si>
    <t>Escenario 179</t>
  </si>
  <si>
    <t>Escenario 180</t>
  </si>
  <si>
    <t>Escenario 181</t>
  </si>
  <si>
    <t>Escenario 182</t>
  </si>
  <si>
    <t>Escenario 183</t>
  </si>
  <si>
    <t>Escenario 184</t>
  </si>
  <si>
    <t>Escenario 185</t>
  </si>
  <si>
    <t>Escenario 186</t>
  </si>
  <si>
    <t>Escenario 187</t>
  </si>
  <si>
    <t>Escenario 188</t>
  </si>
  <si>
    <t>Escenario 189</t>
  </si>
  <si>
    <t>Escenario 190</t>
  </si>
  <si>
    <t>Escenario 191</t>
  </si>
  <si>
    <t>Escenario 192</t>
  </si>
  <si>
    <t>Escenario 193</t>
  </si>
  <si>
    <t>Escenario 194</t>
  </si>
  <si>
    <t>Escenario 195</t>
  </si>
  <si>
    <t>Escenario 196</t>
  </si>
  <si>
    <t>Escenario 197</t>
  </si>
  <si>
    <t>Escenario 198</t>
  </si>
  <si>
    <t>Escenario 199</t>
  </si>
  <si>
    <t>Escenario 200</t>
  </si>
  <si>
    <t>Escenario 201</t>
  </si>
  <si>
    <t>Escenario 202</t>
  </si>
  <si>
    <t>Escenario 203</t>
  </si>
  <si>
    <t>Escenario 204</t>
  </si>
  <si>
    <t>Escenario 205</t>
  </si>
  <si>
    <t>Escenario 206</t>
  </si>
  <si>
    <t>Escenario 207</t>
  </si>
  <si>
    <t>Escenario 208</t>
  </si>
  <si>
    <t>Escenario 209</t>
  </si>
  <si>
    <t>Escenario 210</t>
  </si>
  <si>
    <t>Escenario 211</t>
  </si>
  <si>
    <t>Escenario 212</t>
  </si>
  <si>
    <t>Escenario 213</t>
  </si>
  <si>
    <t>Escenario 214</t>
  </si>
  <si>
    <t>Escenario 215</t>
  </si>
  <si>
    <t>Escenario 216</t>
  </si>
  <si>
    <t>Escenario 217</t>
  </si>
  <si>
    <t>Escenario 218</t>
  </si>
  <si>
    <t>Escenario 219</t>
  </si>
  <si>
    <t>Escenario 220</t>
  </si>
  <si>
    <t>Escenario 221</t>
  </si>
  <si>
    <t>Escenario 222</t>
  </si>
  <si>
    <t>Escenario 223</t>
  </si>
  <si>
    <t>Escenario 224</t>
  </si>
  <si>
    <t>Escenario 225</t>
  </si>
  <si>
    <t>Escenario 226</t>
  </si>
  <si>
    <t>Escenario 227</t>
  </si>
  <si>
    <t>Escenario 228</t>
  </si>
  <si>
    <t>Escenario 229</t>
  </si>
  <si>
    <t>Escenario 230</t>
  </si>
  <si>
    <t>Escenario 231</t>
  </si>
  <si>
    <t>Escenario 232</t>
  </si>
  <si>
    <t>Escenario 233</t>
  </si>
  <si>
    <t>Escenario 234</t>
  </si>
  <si>
    <t>Escenario 235</t>
  </si>
  <si>
    <t>Escenario 236</t>
  </si>
  <si>
    <t>Escenario 237</t>
  </si>
  <si>
    <t>Escenario 238</t>
  </si>
  <si>
    <t>Escenario 239</t>
  </si>
  <si>
    <t>Escenario 240</t>
  </si>
  <si>
    <t>Escenario 241</t>
  </si>
  <si>
    <t>Escenario 242</t>
  </si>
  <si>
    <t>Escenario 243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</si>
  <si>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</si>
  <si>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</si>
  <si>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</si>
  <si>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</si>
  <si>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</si>
  <si>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</si>
  <si>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</si>
  <si>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</si>
  <si>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</si>
  <si>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</si>
  <si>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</si>
  <si>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</si>
  <si>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</si>
  <si>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</si>
  <si>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</si>
  <si>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</si>
  <si>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</si>
  <si>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</si>
  <si>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</si>
  <si>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r</t>
  </si>
  <si>
    <t>v</t>
  </si>
  <si>
    <t>y</t>
  </si>
  <si>
    <t>z</t>
  </si>
  <si>
    <t>aa</t>
  </si>
  <si>
    <t>ab</t>
  </si>
  <si>
    <t>ac</t>
  </si>
  <si>
    <t>ad</t>
  </si>
  <si>
    <t>ae</t>
  </si>
  <si>
    <t>w</t>
  </si>
  <si>
    <t>Escenario META</t>
  </si>
  <si>
    <t>Probabilidad del Escenario</t>
  </si>
  <si>
    <t>Sectorial</t>
  </si>
  <si>
    <t>Matriz de Escenarios Base</t>
  </si>
  <si>
    <t>Seleccionar Escenario</t>
  </si>
  <si>
    <t>Escenario Seleccionado</t>
  </si>
  <si>
    <t>Indicador</t>
  </si>
  <si>
    <t>Política nacional de inteligencia artificial</t>
  </si>
  <si>
    <t>El CONPES 4144 (feb. 2025) fija una hoja de ruta de IA a 2030 con presupuesto público estimado en COP 479.000 millones; impulsa la demanda de proyectos de adopción de IA en empresas y entidades. Fuente: DNP (2025).</t>
  </si>
  <si>
    <t>Número de proyectos de IA ejecutados por la empresa para clientes públicos y privados a 2036</t>
  </si>
  <si>
    <t>Transición de gobierno 2026</t>
  </si>
  <si>
    <t>El cambio de gobierno de agosto de 2026 puede modificar prioridades, incentivos y continuidad de los programas públicos de transformación digital. Fuente: análisis del autor con base en información pública del sector.</t>
  </si>
  <si>
    <t>Continuidad de la política nacional de IA y de los programas públicos de transformación digital a 2036 (presupuesto asignado)</t>
  </si>
  <si>
    <t>Transformación digital del Estado</t>
  </si>
  <si>
    <t>La digitalización de trámites y servicios públicos amplía un mercado ya atendido por la empresa (p. ej., ETB), con procesos de contratación exigentes y ciclos de pago largos. Fuente: DNP (2025); Imaginamos (s. f.-a).</t>
  </si>
  <si>
    <t>Porcentaje de ingresos de la empresa provenientes de contratos con entidades públicas a 2036</t>
  </si>
  <si>
    <t>Volatilidad de la tasa de cambio COP/USD</t>
  </si>
  <si>
    <t>Un peso débil mejora la competitividad de la exportación de servicios; uno fuerte la reduce y encarece licencias y nube facturadas en dólares. Fuente: análisis del autor con base en información pública del sector.</t>
  </si>
  <si>
    <t>Tasa de cambio promedio COP/USD a 2036</t>
  </si>
  <si>
    <t>Desaceleración del sector y presupuestos TI</t>
  </si>
  <si>
    <t>El sector creció 0,8 % en 2024 y se recuperó gradualmente en 2025; los clientes recortan o aplazan proyectos a la medida. Fuente: Fedesoft (2025).</t>
  </si>
  <si>
    <t>Tasa de crecimiento anual de las ventas del sector de software y TI en Colombia a 2036</t>
  </si>
  <si>
    <t>Nearshoring de servicios de software</t>
  </si>
  <si>
    <t>Empresas de EE. UU. trasladan desarrollo a países con huso horario cercano; las exportaciones de servicios informáticos superaron USD 1.758 millones en 2024. Fuente: Fedesoft (2025).</t>
  </si>
  <si>
    <t>Valor de las exportaciones colombianas de servicios informáticos (USD millones) a 2036</t>
  </si>
  <si>
    <t>Costo del financiamiento para pymes</t>
  </si>
  <si>
    <t>Las tasas de interés y el acceso limitado a crédito condicionan la inversión en productos propios, I+D y expansión comercial. Fuente: análisis del autor con base en información pública del sector.</t>
  </si>
  <si>
    <t>Tasa de interés promedio del crédito comercial para pymes a 2036</t>
  </si>
  <si>
    <t>Brecha de talento TI</t>
  </si>
  <si>
    <t>Déficit estimado de 83.000 profesionales que podría llegar a 89.000 en 2030; presiona salarios y disponibilidad de perfiles especializados. Fuente: Forbes Colombia (2026).</t>
  </si>
  <si>
    <t>Déficit de profesionales TI en Colombia a 2036</t>
  </si>
  <si>
    <t>Trabajo remoto y competencia global por talento</t>
  </si>
  <si>
    <t>Los profesionales colombianos pueden trabajar para empresas extranjeras con salarios en dólares, lo que eleva la rotación y el costo de retención. Fuente: análisis del autor con base en información pública del sector.</t>
  </si>
  <si>
    <t>Tasa anual de rotación del personal técnico de la empresa a 2036</t>
  </si>
  <si>
    <t>Digitalización de pymes y consumidores</t>
  </si>
  <si>
    <t>Más empresas y usuarios exigen canales digitales, comercio electrónico y apps, lo que amplía el mercado potencial de servicios digitales. Fuente: La República (2025).</t>
  </si>
  <si>
    <t>Porcentaje de pymes colombianas con canales digitales de venta a 2036</t>
  </si>
  <si>
    <t>Mayores expectativas de experiencia de usuario</t>
  </si>
  <si>
    <t>Las nuevas generaciones esperan productos digitales intuitivos, personalizados e inmediatos; el diseño UX/UI se vuelve un diferenciador. Fuente: análisis del autor con base en información pública del sector.</t>
  </si>
  <si>
    <t>Índice de satisfacción (NPS) de los usuarios de los productos digitales desarrollados a 2036</t>
  </si>
  <si>
    <t>IA generativa y agentes en el desarrollo de software</t>
  </si>
  <si>
    <t>Asistentes de código y agentes de IA reducen tiempos y costos de desarrollo; cambian el modelo de cobro por horas y la composición de los equipos. El 68 % de las empresas de software prioriza la IA. Fuente: La República (2025).</t>
  </si>
  <si>
    <t>Porcentaje de tareas de desarrollo de software realizadas con asistencia de IA a 2036</t>
  </si>
  <si>
    <t>Plataformas low-code / no-code</t>
  </si>
  <si>
    <t>Permiten a los clientes construir soluciones sin programar y sustituyen desarrollos sencillos a la medida. Fuente: análisis del autor con base en información pública del sector.</t>
  </si>
  <si>
    <t>Participación de las plataformas low-code / no-code en el gasto empresarial en desarrollo de software a 2036</t>
  </si>
  <si>
    <t>Arquitecturas nativas en la nube</t>
  </si>
  <si>
    <t>La migración de clientes a la nube y a microservicios exige nuevas competencias técnicas y certificaciones. Fuente: análisis del autor con base en información pública del sector.</t>
  </si>
  <si>
    <t>Porcentaje de proyectos de la empresa desplegados en arquitecturas nativas en la nube a 2036</t>
  </si>
  <si>
    <t>Ciberseguridad y desarrollo seguro</t>
  </si>
  <si>
    <t>Los clientes exigen DevSecOps, auditorías y cumplimiento; un incidente puede afectar gravemente la reputación del proveedor. Fuente: análisis del autor con base en información pública del sector.</t>
  </si>
  <si>
    <t>Número de incidentes de seguridad reportados en soluciones entregadas a 2036</t>
  </si>
  <si>
    <t>Sostenibilidad digital y criterios ESG</t>
  </si>
  <si>
    <t>Grandes clientes incorporan criterios ambientales en la selección de proveedores (eficiencia del software, huella de carbono de la nube). Fuente: análisis del autor con base en información pública del sector.</t>
  </si>
  <si>
    <t>Porcentaje de clientes que exigen criterios ESG en la contratación de proveedores a 2036</t>
  </si>
  <si>
    <t>Eficiencia energética y residuos electrónicos</t>
  </si>
  <si>
    <t>Consumo energético de oficinas e infraestructura, renovación de equipos y disposición de residuos tecnológicos. Fuente: análisis del autor con base en información pública del sector.</t>
  </si>
  <si>
    <t>Consumo energético por colaborador (kWh/año) a 2036</t>
  </si>
  <si>
    <t>Protección de datos y regulación de la IA</t>
  </si>
  <si>
    <t>La Ley 1581 de 2012 y los proyectos de ley de IA en trámite aumentan las obligaciones al construir soluciones con datos personales o IA. Fuente: DNP (2025).</t>
  </si>
  <si>
    <t>Número de normas vigentes sobre IA y datos personales aplicables al desarrollo de software a 2036</t>
  </si>
  <si>
    <t>Reforma laboral (Ley 2466 de 2025)</t>
  </si>
  <si>
    <t>Cambios en recargos, jornada y formas de contratación incrementan el costo laboral y obligan a revisar el modelo de vinculación. Fuente: análisis del autor con base en información pública del sector.</t>
  </si>
  <si>
    <t>Costo laboral total promedio por colaborador a 2036</t>
  </si>
  <si>
    <t>Propiedad intelectual del código generado con IA</t>
  </si>
  <si>
    <t>Incertidumbre jurídica sobre la titularidad y las licencias del código producido con IA en los contratos con clientes. Fuente: análisis del autor con base en información pública del sector.</t>
  </si>
  <si>
    <t>Porcentaje de contratos con cláusulas de propiedad intelectual sobre código generado con IA a 2036</t>
  </si>
  <si>
    <t>Trayectoria y reputación de marca</t>
  </si>
  <si>
    <t>Más de 18 años en el mercado, más de 5.000 proyectos y su papel en el origen de Rappi respaldan su credibilidad comercial. Fuente: ConnectAmericas (s. f.).</t>
  </si>
  <si>
    <t>Posición de la marca en los rankings de empresas de desarrollo de software en Colombia a 2036</t>
  </si>
  <si>
    <t>Portafolio integral de servicios</t>
  </si>
  <si>
    <t>Combina estrategia, desarrollo de software y apps, UX/UI, marketing e integración de IA en una sola oferta. Fuente: Imaginamos (s. f.-b).</t>
  </si>
  <si>
    <t>Número de líneas de servicio que aportan más del 10 % de los ingresos a 2036</t>
  </si>
  <si>
    <t>Capacidad de incubación de startups</t>
  </si>
  <si>
    <t>Experiencia acompañando la creación de más de siete empresas; habilita modelos de venture building. Fuente: ConnectAmericas (s. f.).</t>
  </si>
  <si>
    <t>Número acumulado de startups incubadas o creadas con participación de la empresa a 2036</t>
  </si>
  <si>
    <t>Cartera de clientes corporativos</t>
  </si>
  <si>
    <t>Referencias con marcas como AB InBev, Alpina, Davivienda y ETB, que facilitan nuevos negocios. Fuente: Imaginamos (s. f.-a).</t>
  </si>
  <si>
    <t>Número de clientes corporativos activos y tasa de retención anual a 2036</t>
  </si>
  <si>
    <t>Cultura de diseño y metodologías ágiles</t>
  </si>
  <si>
    <t>Empresa liderada por el diseño, con procesos ágiles y centrados en el usuario. Fuente: ConnectAmericas (s. f.).</t>
  </si>
  <si>
    <t>Tiempo promedio de salida al mercado de los productos desarrollados (semanas) a 2036</t>
  </si>
  <si>
    <t>Escala reducida frente a grandes competidores</t>
  </si>
  <si>
    <t>Con cerca de un centenar de colaboradores compite con firmas de miles de empleados en proyectos grandes. Fuente: LinkedIn (s. f.).</t>
  </si>
  <si>
    <t>Número de colaboradores de la empresa a 2036</t>
  </si>
  <si>
    <t>Dependencia del talento clave</t>
  </si>
  <si>
    <t>Como toda firma de servicios, su capacidad productiva depende de retener ingenieros y diseñadores en un mercado muy competido. Fuente: análisis del autor con base en información pública del sector.</t>
  </si>
  <si>
    <t>Porcentaje de colaboradores clave con más de tres años de permanencia a 2036</t>
  </si>
  <si>
    <t>Cambios frecuentes en la alta dirección</t>
  </si>
  <si>
    <t>Ha tenido varios directores ejecutivos, lo que puede afectar la continuidad de la estrategia de largo plazo. Fuente: StartupIntros (s. f.).</t>
  </si>
  <si>
    <t>Años promedio de permanencia del CEO y del equipo directivo a 2036</t>
  </si>
  <si>
    <t>Ingresos concentrados en proyectos a la medida</t>
  </si>
  <si>
    <t>Predominio de ingresos por proyecto, no recurrentes, frente a productos propios o suscripciones; vulnerable a la IA y a ciclos económicos. Fuente: análisis del autor con base en información pública del sector.</t>
  </si>
  <si>
    <t>Porcentaje de ingresos recurrentes (productos propios, suscripciones y servicios gestionados) a 2036</t>
  </si>
  <si>
    <t>Presencia comercial internacional limitada</t>
  </si>
  <si>
    <t>Operación concentrada en Colombia y Latinoamérica, con menor fuerza comercial que los competidores multinacionales en EE. UU. Fuente: análisis del autor con base en información pública del sector.</t>
  </si>
  <si>
    <t>Porcentaje de ingresos provenientes de clientes fuera de Colombia a 2036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</si>
</sst>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&quot;Escenario&quot;\ 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333333"/>
      <name val="Roboto Mono"/>
    </font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7"/>
      <color theme="0"/>
      <name val="Calibri"/>
      <family val="2"/>
      <scheme val="minor"/>
    </font>
    <font>
      <i/>
      <sz val="9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  <font>
      <b/>
      <sz val="16"/>
      <name val="Roboto Mono"/>
    </font>
    <font>
      <i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8F5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0" fillId="2" borderId="8" xfId="0" applyFill="1" applyBorder="1"/>
    <xf numFmtId="0" fontId="3" fillId="0" borderId="0" xfId="0" applyFont="1" applyAlignment="1">
      <alignment horizontal="center" vertical="center" textRotation="180"/>
    </xf>
    <xf numFmtId="0" fontId="3" fillId="0" borderId="0" xfId="0" applyFont="1" applyAlignment="1">
      <alignment horizontal="center" wrapText="1"/>
    </xf>
    <xf numFmtId="0" fontId="4" fillId="0" borderId="9" xfId="0" applyFont="1" applyBorder="1"/>
    <xf numFmtId="0" fontId="4" fillId="0" borderId="12" xfId="0" applyFont="1" applyBorder="1"/>
    <xf numFmtId="0" fontId="4" fillId="0" borderId="13" xfId="0" applyFont="1" applyBorder="1" applyAlignment="1">
      <alignment horizontal="center"/>
    </xf>
    <xf numFmtId="1" fontId="4" fillId="0" borderId="1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/>
    <xf numFmtId="1" fontId="0" fillId="0" borderId="0" xfId="0" applyNumberFormat="1"/>
    <xf numFmtId="1" fontId="0" fillId="0" borderId="10" xfId="0" applyNumberFormat="1" applyBorder="1" applyAlignment="1">
      <alignment horizontal="center"/>
    </xf>
    <xf numFmtId="0" fontId="1" fillId="0" borderId="9" xfId="0" applyFont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0" fillId="0" borderId="7" xfId="0" applyBorder="1" applyAlignment="1">
      <alignment horizontal="center"/>
    </xf>
    <xf numFmtId="0" fontId="0" fillId="5" borderId="0" xfId="0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11" fillId="0" borderId="0" xfId="0" applyFont="1"/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7" xfId="1" applyFont="1" applyBorder="1" applyAlignment="1">
      <alignment horizontal="center"/>
    </xf>
    <xf numFmtId="164" fontId="0" fillId="0" borderId="0" xfId="0" applyNumberFormat="1"/>
    <xf numFmtId="0" fontId="5" fillId="0" borderId="0" xfId="0" applyFont="1"/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5" fillId="5" borderId="0" xfId="0" applyFont="1" applyFill="1" applyAlignment="1">
      <alignment horizontal="center"/>
    </xf>
    <xf numFmtId="9" fontId="15" fillId="5" borderId="0" xfId="1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1" fillId="5" borderId="4" xfId="0" applyFont="1" applyFill="1" applyBorder="1" applyAlignment="1">
      <alignment vertical="center"/>
    </xf>
    <xf numFmtId="0" fontId="0" fillId="5" borderId="0" xfId="0" applyFill="1" applyAlignment="1">
      <alignment horizontal="center"/>
    </xf>
    <xf numFmtId="165" fontId="0" fillId="0" borderId="0" xfId="0" applyNumberFormat="1"/>
    <xf numFmtId="0" fontId="0" fillId="0" borderId="19" xfId="0" applyBorder="1" applyAlignment="1">
      <alignment horizontal="center"/>
    </xf>
    <xf numFmtId="0" fontId="0" fillId="0" borderId="27" xfId="0" applyBorder="1" applyAlignment="1">
      <alignment horizontal="center"/>
    </xf>
    <xf numFmtId="165" fontId="0" fillId="0" borderId="27" xfId="1" applyNumberFormat="1" applyFont="1" applyBorder="1" applyAlignment="1">
      <alignment horizontal="center"/>
    </xf>
    <xf numFmtId="165" fontId="0" fillId="0" borderId="28" xfId="1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166" fontId="15" fillId="0" borderId="25" xfId="0" applyNumberFormat="1" applyFont="1" applyBorder="1" applyAlignment="1">
      <alignment horizontal="left"/>
    </xf>
    <xf numFmtId="166" fontId="15" fillId="0" borderId="26" xfId="0" applyNumberFormat="1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6" fillId="0" borderId="31" xfId="0" applyFont="1" applyBorder="1"/>
    <xf numFmtId="0" fontId="6" fillId="0" borderId="32" xfId="0" applyFont="1" applyBorder="1"/>
    <xf numFmtId="0" fontId="6" fillId="0" borderId="33" xfId="0" applyFont="1" applyBorder="1"/>
    <xf numFmtId="0" fontId="5" fillId="5" borderId="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16" fillId="0" borderId="0" xfId="0" applyFont="1"/>
    <xf numFmtId="0" fontId="20" fillId="0" borderId="0" xfId="0" applyFont="1"/>
    <xf numFmtId="1" fontId="2" fillId="0" borderId="0" xfId="0" applyNumberFormat="1" applyFont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5" borderId="6" xfId="0" applyFont="1" applyFill="1" applyBorder="1" applyAlignment="1">
      <alignment horizontal="center" vertical="center"/>
    </xf>
    <xf numFmtId="9" fontId="15" fillId="5" borderId="7" xfId="1" applyFont="1" applyFill="1" applyBorder="1" applyAlignment="1">
      <alignment horizontal="center"/>
    </xf>
    <xf numFmtId="0" fontId="0" fillId="5" borderId="7" xfId="0" applyFill="1" applyBorder="1" applyAlignment="1">
      <alignment vertical="center" wrapText="1"/>
    </xf>
    <xf numFmtId="0" fontId="0" fillId="5" borderId="8" xfId="0" applyFill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5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2" borderId="0" xfId="0" applyNumberFormat="1" applyFill="1" applyAlignment="1">
      <alignment horizontal="center" vertical="center"/>
    </xf>
    <xf numFmtId="0" fontId="0" fillId="6" borderId="16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20" xfId="0" applyFill="1" applyBorder="1" applyProtection="1">
      <protection locked="0"/>
    </xf>
    <xf numFmtId="0" fontId="6" fillId="0" borderId="39" xfId="0" applyFont="1" applyBorder="1"/>
    <xf numFmtId="0" fontId="6" fillId="0" borderId="34" xfId="0" applyFont="1" applyBorder="1"/>
    <xf numFmtId="9" fontId="0" fillId="6" borderId="17" xfId="1" applyFont="1" applyFill="1" applyBorder="1" applyAlignment="1" applyProtection="1">
      <alignment horizontal="center"/>
      <protection locked="0"/>
    </xf>
    <xf numFmtId="9" fontId="0" fillId="6" borderId="19" xfId="1" applyFont="1" applyFill="1" applyBorder="1" applyAlignment="1" applyProtection="1">
      <alignment horizontal="center"/>
      <protection locked="0"/>
    </xf>
    <xf numFmtId="9" fontId="0" fillId="6" borderId="21" xfId="1" applyFont="1" applyFill="1" applyBorder="1" applyAlignment="1" applyProtection="1">
      <alignment horizontal="center"/>
      <protection locked="0"/>
    </xf>
    <xf numFmtId="0" fontId="24" fillId="0" borderId="0" xfId="0" applyFont="1"/>
    <xf numFmtId="0" fontId="17" fillId="3" borderId="1" xfId="0" applyFont="1" applyFill="1" applyBorder="1"/>
    <xf numFmtId="0" fontId="17" fillId="3" borderId="3" xfId="0" applyFont="1" applyFill="1" applyBorder="1"/>
    <xf numFmtId="0" fontId="19" fillId="0" borderId="0" xfId="0" applyFont="1"/>
    <xf numFmtId="0" fontId="25" fillId="0" borderId="0" xfId="0" applyFont="1"/>
    <xf numFmtId="0" fontId="25" fillId="0" borderId="0" xfId="0" applyFont="1" applyAlignment="1">
      <alignment wrapText="1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22" fillId="0" borderId="0" xfId="0" applyFont="1" applyAlignment="1">
      <alignment horizontal="left" vertical="top" wrapText="1"/>
    </xf>
    <xf numFmtId="0" fontId="22" fillId="0" borderId="7" xfId="0" applyFont="1" applyBorder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21" fillId="0" borderId="0" xfId="0" applyFont="1" applyAlignment="1">
      <alignment horizontal="left" wrapText="1"/>
    </xf>
    <xf numFmtId="0" fontId="21" fillId="0" borderId="7" xfId="0" applyFont="1" applyBorder="1" applyAlignment="1">
      <alignment horizontal="left" wrapText="1"/>
    </xf>
    <xf numFmtId="0" fontId="5" fillId="7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wrapText="1"/>
    </xf>
    <xf numFmtId="0" fontId="5" fillId="7" borderId="17" xfId="0" applyFont="1" applyFill="1" applyBorder="1" applyAlignment="1">
      <alignment horizontal="center"/>
    </xf>
    <xf numFmtId="0" fontId="7" fillId="6" borderId="14" xfId="0" applyFont="1" applyFill="1" applyBorder="1" applyAlignment="1" applyProtection="1">
      <alignment horizontal="center" vertical="center"/>
      <protection locked="0"/>
    </xf>
    <xf numFmtId="0" fontId="7" fillId="6" borderId="14" xfId="0" applyFont="1" applyFill="1" applyBorder="1" applyAlignment="1" applyProtection="1">
      <alignment vertical="center" wrapText="1"/>
      <protection locked="0"/>
    </xf>
    <xf numFmtId="0" fontId="6" fillId="6" borderId="19" xfId="0" applyFont="1" applyFill="1" applyBorder="1" applyAlignment="1" applyProtection="1">
      <alignment horizontal="center" vertical="center"/>
      <protection locked="0"/>
    </xf>
    <xf numFmtId="0" fontId="5" fillId="8" borderId="1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/>
    </xf>
    <xf numFmtId="0" fontId="14" fillId="9" borderId="35" xfId="0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 wrapText="1"/>
    </xf>
    <xf numFmtId="0" fontId="14" fillId="9" borderId="23" xfId="0" applyFont="1" applyFill="1" applyBorder="1" applyAlignment="1">
      <alignment horizontal="center" vertical="center"/>
    </xf>
    <xf numFmtId="0" fontId="14" fillId="9" borderId="3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/>
    </xf>
    <xf numFmtId="0" fontId="15" fillId="9" borderId="14" xfId="0" applyFont="1" applyFill="1" applyBorder="1" applyAlignment="1">
      <alignment horizontal="center"/>
    </xf>
    <xf numFmtId="0" fontId="15" fillId="9" borderId="19" xfId="0" applyFont="1" applyFill="1" applyBorder="1" applyAlignment="1">
      <alignment horizontal="center"/>
    </xf>
    <xf numFmtId="9" fontId="15" fillId="9" borderId="35" xfId="1" applyFont="1" applyFill="1" applyBorder="1" applyAlignment="1">
      <alignment horizontal="center"/>
    </xf>
    <xf numFmtId="9" fontId="15" fillId="9" borderId="23" xfId="1" applyFont="1" applyFill="1" applyBorder="1" applyAlignment="1">
      <alignment horizontal="center"/>
    </xf>
    <xf numFmtId="9" fontId="15" fillId="9" borderId="36" xfId="1" applyFont="1" applyFill="1" applyBorder="1" applyAlignment="1">
      <alignment horizontal="center"/>
    </xf>
    <xf numFmtId="0" fontId="1" fillId="9" borderId="25" xfId="0" applyFont="1" applyFill="1" applyBorder="1" applyAlignment="1">
      <alignment vertical="center"/>
    </xf>
    <xf numFmtId="0" fontId="1" fillId="9" borderId="25" xfId="0" applyFont="1" applyFill="1" applyBorder="1" applyAlignment="1">
      <alignment horizontal="left" vertical="center"/>
    </xf>
    <xf numFmtId="0" fontId="0" fillId="9" borderId="27" xfId="0" applyFill="1" applyBorder="1" applyAlignment="1">
      <alignment horizontal="center"/>
    </xf>
    <xf numFmtId="0" fontId="5" fillId="9" borderId="27" xfId="0" applyFont="1" applyFill="1" applyBorder="1" applyAlignment="1">
      <alignment horizontal="center" vertical="center" wrapText="1"/>
    </xf>
    <xf numFmtId="0" fontId="18" fillId="9" borderId="22" xfId="0" applyFont="1" applyFill="1" applyBorder="1" applyAlignment="1" applyProtection="1">
      <alignment horizontal="center" vertical="center"/>
      <protection locked="0"/>
    </xf>
    <xf numFmtId="0" fontId="27" fillId="9" borderId="6" xfId="0" applyFont="1" applyFill="1" applyBorder="1" applyAlignment="1">
      <alignment horizontal="center"/>
    </xf>
    <xf numFmtId="0" fontId="27" fillId="9" borderId="8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textRotation="180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5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2" fillId="0" borderId="5" xfId="0" applyFont="1" applyBorder="1" applyAlignment="1">
      <alignment horizontal="center"/>
    </xf>
    <xf numFmtId="0" fontId="3" fillId="8" borderId="15" xfId="0" applyFont="1" applyFill="1" applyBorder="1" applyAlignment="1">
      <alignment horizontal="center"/>
    </xf>
    <xf numFmtId="0" fontId="3" fillId="8" borderId="16" xfId="0" applyFont="1" applyFill="1" applyBorder="1" applyAlignment="1">
      <alignment horizontal="center"/>
    </xf>
    <xf numFmtId="0" fontId="3" fillId="8" borderId="17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19" fillId="8" borderId="1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17" fillId="7" borderId="12" xfId="0" applyFont="1" applyFill="1" applyBorder="1" applyAlignment="1">
      <alignment horizontal="center" vertical="center" wrapText="1"/>
    </xf>
    <xf numFmtId="0" fontId="17" fillId="7" borderId="13" xfId="0" applyFont="1" applyFill="1" applyBorder="1" applyAlignment="1">
      <alignment horizontal="center" vertical="center" wrapText="1"/>
    </xf>
    <xf numFmtId="0" fontId="17" fillId="7" borderId="30" xfId="0" applyFont="1" applyFill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/>
    </xf>
    <xf numFmtId="0" fontId="26" fillId="8" borderId="3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12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E8F5F8"/>
      <color rgb="FFF0F8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Clasificación</a:t>
            </a:r>
            <a:r>
              <a:rPr lang="es-CO" baseline="0">
                <a:solidFill>
                  <a:schemeClr val="tx1"/>
                </a:solidFill>
              </a:rPr>
              <a:t> de Resultados</a:t>
            </a:r>
            <a:endParaRPr lang="es-CO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841468533265575E-2"/>
          <c:y val="0.17079905635158166"/>
          <c:w val="0.87075547265938069"/>
          <c:h val="0.736577660909292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Hoja1!$B$18:$L$18</c:f>
              <c:numCache>
                <c:formatCode>General</c:formatCode>
                <c:ptCount val="11"/>
                <c:pt idx="0">
                  <c:v>18</c:v>
                </c:pt>
                <c:pt idx="1">
                  <c:v>12</c:v>
                </c:pt>
                <c:pt idx="2">
                  <c:v>8</c:v>
                </c:pt>
                <c:pt idx="3">
                  <c:v>12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14</c:v>
                </c:pt>
                <c:pt idx="8">
                  <c:v>13</c:v>
                </c:pt>
                <c:pt idx="9">
                  <c:v>9</c:v>
                </c:pt>
                <c:pt idx="10">
                  <c:v>0</c:v>
                </c:pt>
              </c:numCache>
            </c:numRef>
          </c:xVal>
          <c:yVal>
            <c:numRef>
              <c:f>Hoja1!$B$16:$L$16</c:f>
              <c:numCache>
                <c:formatCode>0.0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A3-464F-A910-7D7C76BE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69504"/>
        <c:axId val="204124544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A3-464F-A910-7D7C76BE46AD}"/>
              </c:ext>
            </c:extLst>
          </c:dPt>
          <c:xVal>
            <c:numRef>
              <c:f>'IMPACTOS CRUZADOS'!$M$4:$M$13</c:f>
              <c:numCache>
                <c:formatCode>General</c:formatCode>
                <c:ptCount val="10"/>
                <c:pt idx="0">
                  <c:v>18</c:v>
                </c:pt>
                <c:pt idx="1">
                  <c:v>12</c:v>
                </c:pt>
                <c:pt idx="2">
                  <c:v>8</c:v>
                </c:pt>
                <c:pt idx="3">
                  <c:v>12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14</c:v>
                </c:pt>
                <c:pt idx="8">
                  <c:v>13</c:v>
                </c:pt>
                <c:pt idx="9">
                  <c:v>9</c:v>
                </c:pt>
              </c:numCache>
            </c:numRef>
          </c:xVal>
          <c:yVal>
            <c:numRef>
              <c:f>'IMPACTOS CRUZADOS'!$C$14:$L$14</c:f>
              <c:numCache>
                <c:formatCode>0</c:formatCode>
                <c:ptCount val="10"/>
                <c:pt idx="0">
                  <c:v>14</c:v>
                </c:pt>
                <c:pt idx="1">
                  <c:v>16</c:v>
                </c:pt>
                <c:pt idx="2">
                  <c:v>14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8</c:v>
                </c:pt>
                <c:pt idx="9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3-464F-A910-7D7C76BE46A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Hoja1!$B$19:$L$19</c:f>
              <c:numCache>
                <c:formatCode>0.0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xVal>
          <c:yVal>
            <c:numRef>
              <c:f>Hoja1!$B$15:$L$15</c:f>
              <c:numCache>
                <c:formatCode>0</c:formatCode>
                <c:ptCount val="11"/>
                <c:pt idx="0">
                  <c:v>14</c:v>
                </c:pt>
                <c:pt idx="1">
                  <c:v>16</c:v>
                </c:pt>
                <c:pt idx="2">
                  <c:v>14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8</c:v>
                </c:pt>
                <c:pt idx="9">
                  <c:v>11</c:v>
                </c:pt>
                <c:pt idx="1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A3-464F-A910-7D7C76BE46AD}"/>
            </c:ext>
          </c:extLst>
        </c:ser>
        <c:ser>
          <c:idx val="3"/>
          <c:order val="3"/>
          <c:spPr>
            <a:ln w="12700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Hoja1!$B$20:$L$20</c:f>
              <c:numCache>
                <c:formatCode>0.0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xVal>
          <c:yVal>
            <c:numRef>
              <c:f>Hoja1!$B$15:$L$15</c:f>
              <c:numCache>
                <c:formatCode>0</c:formatCode>
                <c:ptCount val="11"/>
                <c:pt idx="0">
                  <c:v>14</c:v>
                </c:pt>
                <c:pt idx="1">
                  <c:v>16</c:v>
                </c:pt>
                <c:pt idx="2">
                  <c:v>14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11</c:v>
                </c:pt>
                <c:pt idx="7">
                  <c:v>10</c:v>
                </c:pt>
                <c:pt idx="8">
                  <c:v>8</c:v>
                </c:pt>
                <c:pt idx="9">
                  <c:v>11</c:v>
                </c:pt>
                <c:pt idx="1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CA3-464F-A910-7D7C76BE46AD}"/>
            </c:ext>
          </c:extLst>
        </c:ser>
        <c:ser>
          <c:idx val="4"/>
          <c:order val="4"/>
          <c:spPr>
            <a:ln w="12700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xVal>
            <c:numRef>
              <c:f>Hoja1!$B$18:$L$18</c:f>
              <c:numCache>
                <c:formatCode>General</c:formatCode>
                <c:ptCount val="11"/>
                <c:pt idx="0">
                  <c:v>18</c:v>
                </c:pt>
                <c:pt idx="1">
                  <c:v>12</c:v>
                </c:pt>
                <c:pt idx="2">
                  <c:v>8</c:v>
                </c:pt>
                <c:pt idx="3">
                  <c:v>12</c:v>
                </c:pt>
                <c:pt idx="4">
                  <c:v>9</c:v>
                </c:pt>
                <c:pt idx="5">
                  <c:v>11</c:v>
                </c:pt>
                <c:pt idx="6">
                  <c:v>10</c:v>
                </c:pt>
                <c:pt idx="7">
                  <c:v>14</c:v>
                </c:pt>
                <c:pt idx="8">
                  <c:v>13</c:v>
                </c:pt>
                <c:pt idx="9">
                  <c:v>9</c:v>
                </c:pt>
                <c:pt idx="10">
                  <c:v>0</c:v>
                </c:pt>
              </c:numCache>
            </c:numRef>
          </c:xVal>
          <c:yVal>
            <c:numRef>
              <c:f>Hoja1!$B$17:$L$17</c:f>
              <c:numCache>
                <c:formatCode>0.0</c:formatCode>
                <c:ptCount val="1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CA3-464F-A910-7D7C76BE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69504"/>
        <c:axId val="204124544"/>
      </c:scatterChart>
      <c:valAx>
        <c:axId val="204069504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124544"/>
        <c:crosses val="autoZero"/>
        <c:crossBetween val="midCat"/>
      </c:valAx>
      <c:valAx>
        <c:axId val="204124544"/>
        <c:scaling>
          <c:orientation val="minMax"/>
          <c:max val="27"/>
          <c:min val="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06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6</xdr:row>
          <xdr:rowOff>9525</xdr:rowOff>
        </xdr:from>
        <xdr:to>
          <xdr:col>11</xdr:col>
          <xdr:colOff>581025</xdr:colOff>
          <xdr:row>7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6</xdr:row>
          <xdr:rowOff>0</xdr:rowOff>
        </xdr:from>
        <xdr:to>
          <xdr:col>11</xdr:col>
          <xdr:colOff>371475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171450</xdr:rowOff>
        </xdr:from>
        <xdr:to>
          <xdr:col>11</xdr:col>
          <xdr:colOff>409575</xdr:colOff>
          <xdr:row>10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</xdr:row>
          <xdr:rowOff>152400</xdr:rowOff>
        </xdr:from>
        <xdr:to>
          <xdr:col>15</xdr:col>
          <xdr:colOff>561975</xdr:colOff>
          <xdr:row>3</xdr:row>
          <xdr:rowOff>142875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4</xdr:row>
          <xdr:rowOff>133350</xdr:rowOff>
        </xdr:from>
        <xdr:to>
          <xdr:col>15</xdr:col>
          <xdr:colOff>542925</xdr:colOff>
          <xdr:row>6</xdr:row>
          <xdr:rowOff>142875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1</xdr:row>
      <xdr:rowOff>0</xdr:rowOff>
    </xdr:from>
    <xdr:to>
      <xdr:col>8</xdr:col>
      <xdr:colOff>675409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1</xdr:row>
          <xdr:rowOff>57150</xdr:rowOff>
        </xdr:from>
        <xdr:to>
          <xdr:col>15</xdr:col>
          <xdr:colOff>495300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4</xdr:row>
          <xdr:rowOff>104775</xdr:rowOff>
        </xdr:from>
        <xdr:to>
          <xdr:col>15</xdr:col>
          <xdr:colOff>457200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7</xdr:row>
          <xdr:rowOff>19050</xdr:rowOff>
        </xdr:from>
        <xdr:to>
          <xdr:col>7</xdr:col>
          <xdr:colOff>257175</xdr:colOff>
          <xdr:row>9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3</xdr:row>
          <xdr:rowOff>38100</xdr:rowOff>
        </xdr:from>
        <xdr:to>
          <xdr:col>7</xdr:col>
          <xdr:colOff>247650</xdr:colOff>
          <xdr:row>5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ESCENARIO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542925</xdr:colOff>
          <xdr:row>9</xdr:row>
          <xdr:rowOff>171450</xdr:rowOff>
        </xdr:from>
        <xdr:to>
          <xdr:col>35</xdr:col>
          <xdr:colOff>28575</xdr:colOff>
          <xdr:row>11</xdr:row>
          <xdr:rowOff>180975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514350</xdr:colOff>
          <xdr:row>6</xdr:row>
          <xdr:rowOff>76200</xdr:rowOff>
        </xdr:from>
        <xdr:to>
          <xdr:col>35</xdr:col>
          <xdr:colOff>200025</xdr:colOff>
          <xdr:row>8</xdr:row>
          <xdr:rowOff>85725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8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Detalle del Escenario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295275</xdr:rowOff>
        </xdr:from>
        <xdr:to>
          <xdr:col>4</xdr:col>
          <xdr:colOff>552450</xdr:colOff>
          <xdr:row>3</xdr:row>
          <xdr:rowOff>85725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85725</xdr:rowOff>
        </xdr:from>
        <xdr:to>
          <xdr:col>4</xdr:col>
          <xdr:colOff>609600</xdr:colOff>
          <xdr:row>5</xdr:row>
          <xdr:rowOff>200025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A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32"/>
  <sheetViews>
    <sheetView showGridLines="0" tabSelected="1" zoomScale="120" zoomScaleNormal="120" workbookViewId="0">
      <selection activeCell="U7" sqref="U7"/>
    </sheetView>
  </sheetViews>
  <sheetFormatPr baseColWidth="10" defaultColWidth="9.140625" defaultRowHeight="15" x14ac:dyDescent="0.25"/>
  <cols>
    <col min="1" max="1" width="3" style="27" customWidth="1"/>
    <col min="2" max="2" width="6" style="1" customWidth="1"/>
    <col min="3" max="3" width="11.5703125" style="106" bestFit="1" customWidth="1"/>
    <col min="4" max="4" width="35.7109375" style="107" customWidth="1"/>
    <col min="5" max="5" width="30.42578125" style="108" customWidth="1"/>
    <col min="6" max="6" width="26.5703125" style="108" customWidth="1"/>
    <col min="7" max="7" width="6.5703125" style="106" bestFit="1" customWidth="1"/>
    <col min="8" max="8" width="20.42578125" style="106" bestFit="1" customWidth="1"/>
    <col min="9" max="9" width="9.140625" style="109"/>
  </cols>
  <sheetData>
    <row r="1" spans="1:12" ht="15.75" thickBot="1" x14ac:dyDescent="0.3">
      <c r="C1" s="1"/>
      <c r="D1" s="1"/>
      <c r="E1" s="1"/>
      <c r="F1" s="1"/>
      <c r="G1" s="1"/>
      <c r="H1" s="1"/>
      <c r="I1"/>
      <c r="K1" s="140" t="s">
        <v>23</v>
      </c>
      <c r="L1" s="141"/>
    </row>
    <row r="2" spans="1:12" x14ac:dyDescent="0.25">
      <c r="B2" s="112" t="s">
        <v>20</v>
      </c>
      <c r="C2" s="113" t="s">
        <v>17</v>
      </c>
      <c r="D2" s="113" t="s">
        <v>18</v>
      </c>
      <c r="E2" s="114" t="s">
        <v>0</v>
      </c>
      <c r="F2" s="114" t="s">
        <v>341</v>
      </c>
      <c r="G2" s="113" t="s">
        <v>1</v>
      </c>
      <c r="H2" s="113" t="s">
        <v>19</v>
      </c>
      <c r="I2" s="115" t="s">
        <v>6</v>
      </c>
      <c r="K2" s="3">
        <v>3</v>
      </c>
      <c r="L2" s="4" t="s">
        <v>7</v>
      </c>
    </row>
    <row r="3" spans="1:12" ht="84" x14ac:dyDescent="0.25">
      <c r="A3" s="28">
        <f>+I3</f>
        <v>0</v>
      </c>
      <c r="B3" s="58">
        <v>1</v>
      </c>
      <c r="C3" s="116" t="s">
        <v>29</v>
      </c>
      <c r="D3" s="117" t="s">
        <v>342</v>
      </c>
      <c r="E3" s="117" t="s">
        <v>343</v>
      </c>
      <c r="F3" s="117" t="s">
        <v>344</v>
      </c>
      <c r="G3" s="116" t="s">
        <v>31</v>
      </c>
      <c r="H3" s="116">
        <v>2</v>
      </c>
      <c r="I3" s="118"/>
      <c r="K3" s="5">
        <v>2</v>
      </c>
      <c r="L3" s="6" t="s">
        <v>8</v>
      </c>
    </row>
    <row r="4" spans="1:12" ht="72" x14ac:dyDescent="0.25">
      <c r="A4" s="28">
        <f t="shared" ref="A4:A32" si="0">+I4</f>
        <v>0</v>
      </c>
      <c r="B4" s="58">
        <v>2</v>
      </c>
      <c r="C4" s="116" t="s">
        <v>29</v>
      </c>
      <c r="D4" s="117" t="s">
        <v>345</v>
      </c>
      <c r="E4" s="117" t="s">
        <v>346</v>
      </c>
      <c r="F4" s="117" t="s">
        <v>347</v>
      </c>
      <c r="G4" s="116" t="s">
        <v>33</v>
      </c>
      <c r="H4" s="116">
        <v>2</v>
      </c>
      <c r="I4" s="118"/>
      <c r="K4" s="5">
        <v>1</v>
      </c>
      <c r="L4" s="6" t="s">
        <v>9</v>
      </c>
    </row>
    <row r="5" spans="1:12" ht="72.75" thickBot="1" x14ac:dyDescent="0.3">
      <c r="A5" s="28">
        <f t="shared" si="0"/>
        <v>0</v>
      </c>
      <c r="B5" s="58">
        <v>3</v>
      </c>
      <c r="C5" s="116" t="s">
        <v>29</v>
      </c>
      <c r="D5" s="117" t="s">
        <v>348</v>
      </c>
      <c r="E5" s="117" t="s">
        <v>349</v>
      </c>
      <c r="F5" s="117" t="s">
        <v>350</v>
      </c>
      <c r="G5" s="116" t="s">
        <v>31</v>
      </c>
      <c r="H5" s="116">
        <v>2</v>
      </c>
      <c r="I5" s="118"/>
      <c r="K5" s="7">
        <v>0</v>
      </c>
      <c r="L5" s="8" t="s">
        <v>10</v>
      </c>
    </row>
    <row r="6" spans="1:12" ht="72" x14ac:dyDescent="0.25">
      <c r="A6" s="28">
        <f t="shared" si="0"/>
        <v>0</v>
      </c>
      <c r="B6" s="58">
        <v>4</v>
      </c>
      <c r="C6" s="116" t="s">
        <v>24</v>
      </c>
      <c r="D6" s="117" t="s">
        <v>351</v>
      </c>
      <c r="E6" s="117" t="s">
        <v>352</v>
      </c>
      <c r="F6" s="117" t="s">
        <v>353</v>
      </c>
      <c r="G6" s="116" t="s">
        <v>33</v>
      </c>
      <c r="H6" s="116">
        <v>3</v>
      </c>
      <c r="I6" s="118"/>
    </row>
    <row r="7" spans="1:12" ht="48" x14ac:dyDescent="0.25">
      <c r="A7" s="28">
        <f t="shared" si="0"/>
        <v>0</v>
      </c>
      <c r="B7" s="58">
        <v>5</v>
      </c>
      <c r="C7" s="116" t="s">
        <v>24</v>
      </c>
      <c r="D7" s="117" t="s">
        <v>354</v>
      </c>
      <c r="E7" s="117" t="s">
        <v>355</v>
      </c>
      <c r="F7" s="117" t="s">
        <v>356</v>
      </c>
      <c r="G7" s="116" t="s">
        <v>33</v>
      </c>
      <c r="H7" s="116">
        <v>3</v>
      </c>
      <c r="I7" s="118"/>
    </row>
    <row r="8" spans="1:12" ht="72" x14ac:dyDescent="0.25">
      <c r="A8" s="28">
        <f t="shared" si="0"/>
        <v>3</v>
      </c>
      <c r="B8" s="58">
        <v>6</v>
      </c>
      <c r="C8" s="116" t="s">
        <v>24</v>
      </c>
      <c r="D8" s="117" t="s">
        <v>357</v>
      </c>
      <c r="E8" s="117" t="s">
        <v>358</v>
      </c>
      <c r="F8" s="117" t="s">
        <v>359</v>
      </c>
      <c r="G8" s="116" t="s">
        <v>31</v>
      </c>
      <c r="H8" s="116">
        <v>3</v>
      </c>
      <c r="I8" s="118">
        <v>3</v>
      </c>
    </row>
    <row r="9" spans="1:12" ht="60" x14ac:dyDescent="0.25">
      <c r="A9" s="28">
        <f t="shared" si="0"/>
        <v>0</v>
      </c>
      <c r="B9" s="58">
        <v>7</v>
      </c>
      <c r="C9" s="116" t="s">
        <v>24</v>
      </c>
      <c r="D9" s="117" t="s">
        <v>360</v>
      </c>
      <c r="E9" s="117" t="s">
        <v>361</v>
      </c>
      <c r="F9" s="117" t="s">
        <v>362</v>
      </c>
      <c r="G9" s="116" t="s">
        <v>33</v>
      </c>
      <c r="H9" s="116">
        <v>2</v>
      </c>
      <c r="I9" s="118"/>
    </row>
    <row r="10" spans="1:12" ht="60" x14ac:dyDescent="0.25">
      <c r="A10" s="28">
        <f t="shared" si="0"/>
        <v>4</v>
      </c>
      <c r="B10" s="58">
        <v>8</v>
      </c>
      <c r="C10" s="116" t="s">
        <v>25</v>
      </c>
      <c r="D10" s="117" t="s">
        <v>363</v>
      </c>
      <c r="E10" s="117" t="s">
        <v>364</v>
      </c>
      <c r="F10" s="117" t="s">
        <v>365</v>
      </c>
      <c r="G10" s="116" t="s">
        <v>33</v>
      </c>
      <c r="H10" s="116">
        <v>3</v>
      </c>
      <c r="I10" s="118">
        <v>4</v>
      </c>
    </row>
    <row r="11" spans="1:12" ht="72" x14ac:dyDescent="0.25">
      <c r="A11" s="28">
        <f t="shared" si="0"/>
        <v>8</v>
      </c>
      <c r="B11" s="58">
        <v>9</v>
      </c>
      <c r="C11" s="116" t="s">
        <v>25</v>
      </c>
      <c r="D11" s="117" t="s">
        <v>366</v>
      </c>
      <c r="E11" s="117" t="s">
        <v>367</v>
      </c>
      <c r="F11" s="117" t="s">
        <v>368</v>
      </c>
      <c r="G11" s="116" t="s">
        <v>33</v>
      </c>
      <c r="H11" s="116">
        <v>3</v>
      </c>
      <c r="I11" s="118">
        <v>8</v>
      </c>
    </row>
    <row r="12" spans="1:12" ht="60" x14ac:dyDescent="0.25">
      <c r="A12" s="28">
        <f t="shared" si="0"/>
        <v>9</v>
      </c>
      <c r="B12" s="58">
        <v>10</v>
      </c>
      <c r="C12" s="116" t="s">
        <v>25</v>
      </c>
      <c r="D12" s="117" t="s">
        <v>369</v>
      </c>
      <c r="E12" s="117" t="s">
        <v>370</v>
      </c>
      <c r="F12" s="117" t="s">
        <v>371</v>
      </c>
      <c r="G12" s="116" t="s">
        <v>31</v>
      </c>
      <c r="H12" s="116">
        <v>3</v>
      </c>
      <c r="I12" s="118">
        <v>9</v>
      </c>
    </row>
    <row r="13" spans="1:12" ht="72" x14ac:dyDescent="0.25">
      <c r="A13" s="28">
        <f t="shared" si="0"/>
        <v>0</v>
      </c>
      <c r="B13" s="58">
        <v>11</v>
      </c>
      <c r="C13" s="116" t="s">
        <v>25</v>
      </c>
      <c r="D13" s="117" t="s">
        <v>372</v>
      </c>
      <c r="E13" s="117" t="s">
        <v>373</v>
      </c>
      <c r="F13" s="117" t="s">
        <v>374</v>
      </c>
      <c r="G13" s="116" t="s">
        <v>31</v>
      </c>
      <c r="H13" s="116">
        <v>2</v>
      </c>
      <c r="I13" s="118"/>
    </row>
    <row r="14" spans="1:12" ht="72" x14ac:dyDescent="0.25">
      <c r="A14" s="28">
        <f t="shared" si="0"/>
        <v>2</v>
      </c>
      <c r="B14" s="58">
        <v>12</v>
      </c>
      <c r="C14" s="116" t="s">
        <v>34</v>
      </c>
      <c r="D14" s="117" t="s">
        <v>375</v>
      </c>
      <c r="E14" s="117" t="s">
        <v>376</v>
      </c>
      <c r="F14" s="117" t="s">
        <v>377</v>
      </c>
      <c r="G14" s="116" t="s">
        <v>33</v>
      </c>
      <c r="H14" s="116">
        <v>3</v>
      </c>
      <c r="I14" s="118">
        <v>2</v>
      </c>
    </row>
    <row r="15" spans="1:12" ht="60" x14ac:dyDescent="0.25">
      <c r="A15" s="28">
        <f t="shared" si="0"/>
        <v>0</v>
      </c>
      <c r="B15" s="58">
        <v>13</v>
      </c>
      <c r="C15" s="116" t="s">
        <v>34</v>
      </c>
      <c r="D15" s="117" t="s">
        <v>378</v>
      </c>
      <c r="E15" s="117" t="s">
        <v>379</v>
      </c>
      <c r="F15" s="117" t="s">
        <v>380</v>
      </c>
      <c r="G15" s="116" t="s">
        <v>33</v>
      </c>
      <c r="H15" s="116">
        <v>2</v>
      </c>
      <c r="I15" s="118"/>
    </row>
    <row r="16" spans="1:12" ht="60" x14ac:dyDescent="0.25">
      <c r="A16" s="28">
        <f t="shared" si="0"/>
        <v>0</v>
      </c>
      <c r="B16" s="58">
        <v>14</v>
      </c>
      <c r="C16" s="116" t="s">
        <v>34</v>
      </c>
      <c r="D16" s="117" t="s">
        <v>381</v>
      </c>
      <c r="E16" s="117" t="s">
        <v>382</v>
      </c>
      <c r="F16" s="117" t="s">
        <v>383</v>
      </c>
      <c r="G16" s="116" t="s">
        <v>31</v>
      </c>
      <c r="H16" s="116">
        <v>2</v>
      </c>
      <c r="I16" s="118"/>
    </row>
    <row r="17" spans="1:9" ht="72" x14ac:dyDescent="0.25">
      <c r="A17" s="28">
        <f t="shared" si="0"/>
        <v>5</v>
      </c>
      <c r="B17" s="58">
        <v>15</v>
      </c>
      <c r="C17" s="116" t="s">
        <v>34</v>
      </c>
      <c r="D17" s="117" t="s">
        <v>384</v>
      </c>
      <c r="E17" s="117" t="s">
        <v>385</v>
      </c>
      <c r="F17" s="117" t="s">
        <v>386</v>
      </c>
      <c r="G17" s="116" t="s">
        <v>33</v>
      </c>
      <c r="H17" s="116">
        <v>3</v>
      </c>
      <c r="I17" s="118">
        <v>5</v>
      </c>
    </row>
    <row r="18" spans="1:9" ht="72" x14ac:dyDescent="0.25">
      <c r="A18" s="28">
        <f t="shared" si="0"/>
        <v>0</v>
      </c>
      <c r="B18" s="58">
        <v>16</v>
      </c>
      <c r="C18" s="116" t="s">
        <v>26</v>
      </c>
      <c r="D18" s="117" t="s">
        <v>387</v>
      </c>
      <c r="E18" s="117" t="s">
        <v>388</v>
      </c>
      <c r="F18" s="117" t="s">
        <v>389</v>
      </c>
      <c r="G18" s="116" t="s">
        <v>31</v>
      </c>
      <c r="H18" s="116">
        <v>1</v>
      </c>
      <c r="I18" s="118"/>
    </row>
    <row r="19" spans="1:9" ht="60" x14ac:dyDescent="0.25">
      <c r="A19" s="28">
        <f t="shared" si="0"/>
        <v>0</v>
      </c>
      <c r="B19" s="58">
        <v>17</v>
      </c>
      <c r="C19" s="116" t="s">
        <v>26</v>
      </c>
      <c r="D19" s="117" t="s">
        <v>390</v>
      </c>
      <c r="E19" s="117" t="s">
        <v>391</v>
      </c>
      <c r="F19" s="117" t="s">
        <v>392</v>
      </c>
      <c r="G19" s="116" t="s">
        <v>33</v>
      </c>
      <c r="H19" s="116">
        <v>1</v>
      </c>
      <c r="I19" s="118"/>
    </row>
    <row r="20" spans="1:9" ht="60" x14ac:dyDescent="0.25">
      <c r="A20" s="28">
        <f t="shared" si="0"/>
        <v>0</v>
      </c>
      <c r="B20" s="58">
        <v>18</v>
      </c>
      <c r="C20" s="116" t="s">
        <v>27</v>
      </c>
      <c r="D20" s="117" t="s">
        <v>393</v>
      </c>
      <c r="E20" s="117" t="s">
        <v>394</v>
      </c>
      <c r="F20" s="117" t="s">
        <v>395</v>
      </c>
      <c r="G20" s="116" t="s">
        <v>33</v>
      </c>
      <c r="H20" s="116">
        <v>2</v>
      </c>
      <c r="I20" s="118"/>
    </row>
    <row r="21" spans="1:9" ht="72" x14ac:dyDescent="0.25">
      <c r="A21" s="28">
        <f t="shared" si="0"/>
        <v>0</v>
      </c>
      <c r="B21" s="58">
        <v>19</v>
      </c>
      <c r="C21" s="116" t="s">
        <v>27</v>
      </c>
      <c r="D21" s="117" t="s">
        <v>396</v>
      </c>
      <c r="E21" s="117" t="s">
        <v>397</v>
      </c>
      <c r="F21" s="117" t="s">
        <v>398</v>
      </c>
      <c r="G21" s="116" t="s">
        <v>33</v>
      </c>
      <c r="H21" s="116">
        <v>3</v>
      </c>
      <c r="I21" s="118"/>
    </row>
    <row r="22" spans="1:9" ht="60" x14ac:dyDescent="0.25">
      <c r="A22" s="28">
        <f t="shared" si="0"/>
        <v>0</v>
      </c>
      <c r="B22" s="58">
        <v>20</v>
      </c>
      <c r="C22" s="116" t="s">
        <v>27</v>
      </c>
      <c r="D22" s="117" t="s">
        <v>399</v>
      </c>
      <c r="E22" s="117" t="s">
        <v>400</v>
      </c>
      <c r="F22" s="117" t="s">
        <v>401</v>
      </c>
      <c r="G22" s="116" t="s">
        <v>33</v>
      </c>
      <c r="H22" s="116">
        <v>2</v>
      </c>
      <c r="I22" s="118"/>
    </row>
    <row r="23" spans="1:9" ht="60" x14ac:dyDescent="0.25">
      <c r="A23" s="28">
        <f t="shared" si="0"/>
        <v>0</v>
      </c>
      <c r="B23" s="58">
        <v>21</v>
      </c>
      <c r="C23" s="116" t="s">
        <v>28</v>
      </c>
      <c r="D23" s="117" t="s">
        <v>402</v>
      </c>
      <c r="E23" s="117" t="s">
        <v>403</v>
      </c>
      <c r="F23" s="117" t="s">
        <v>404</v>
      </c>
      <c r="G23" s="116" t="s">
        <v>32</v>
      </c>
      <c r="H23" s="116">
        <v>2</v>
      </c>
      <c r="I23" s="118"/>
    </row>
    <row r="24" spans="1:9" ht="48" x14ac:dyDescent="0.25">
      <c r="A24" s="28">
        <f t="shared" si="0"/>
        <v>0</v>
      </c>
      <c r="B24" s="58">
        <v>22</v>
      </c>
      <c r="C24" s="116" t="s">
        <v>28</v>
      </c>
      <c r="D24" s="117" t="s">
        <v>405</v>
      </c>
      <c r="E24" s="117" t="s">
        <v>406</v>
      </c>
      <c r="F24" s="117" t="s">
        <v>407</v>
      </c>
      <c r="G24" s="116" t="s">
        <v>32</v>
      </c>
      <c r="H24" s="116">
        <v>2</v>
      </c>
      <c r="I24" s="118"/>
    </row>
    <row r="25" spans="1:9" ht="48" x14ac:dyDescent="0.25">
      <c r="A25" s="28">
        <f t="shared" si="0"/>
        <v>0</v>
      </c>
      <c r="B25" s="58">
        <v>23</v>
      </c>
      <c r="C25" s="116" t="s">
        <v>28</v>
      </c>
      <c r="D25" s="117" t="s">
        <v>408</v>
      </c>
      <c r="E25" s="117" t="s">
        <v>409</v>
      </c>
      <c r="F25" s="117" t="s">
        <v>410</v>
      </c>
      <c r="G25" s="116" t="s">
        <v>32</v>
      </c>
      <c r="H25" s="116">
        <v>2</v>
      </c>
      <c r="I25" s="118"/>
    </row>
    <row r="26" spans="1:9" ht="48" x14ac:dyDescent="0.25">
      <c r="A26" s="28">
        <f t="shared" si="0"/>
        <v>6</v>
      </c>
      <c r="B26" s="58">
        <v>24</v>
      </c>
      <c r="C26" s="116" t="s">
        <v>28</v>
      </c>
      <c r="D26" s="117" t="s">
        <v>411</v>
      </c>
      <c r="E26" s="117" t="s">
        <v>412</v>
      </c>
      <c r="F26" s="117" t="s">
        <v>413</v>
      </c>
      <c r="G26" s="116" t="s">
        <v>32</v>
      </c>
      <c r="H26" s="116">
        <v>3</v>
      </c>
      <c r="I26" s="118">
        <v>6</v>
      </c>
    </row>
    <row r="27" spans="1:9" ht="36" x14ac:dyDescent="0.25">
      <c r="A27" s="28">
        <f t="shared" si="0"/>
        <v>0</v>
      </c>
      <c r="B27" s="58">
        <v>25</v>
      </c>
      <c r="C27" s="116" t="s">
        <v>28</v>
      </c>
      <c r="D27" s="117" t="s">
        <v>414</v>
      </c>
      <c r="E27" s="117" t="s">
        <v>415</v>
      </c>
      <c r="F27" s="117" t="s">
        <v>416</v>
      </c>
      <c r="G27" s="116" t="s">
        <v>32</v>
      </c>
      <c r="H27" s="116">
        <v>2</v>
      </c>
      <c r="I27" s="118"/>
    </row>
    <row r="28" spans="1:9" ht="48" x14ac:dyDescent="0.25">
      <c r="A28" s="28">
        <f t="shared" si="0"/>
        <v>10</v>
      </c>
      <c r="B28" s="58">
        <v>26</v>
      </c>
      <c r="C28" s="116" t="s">
        <v>28</v>
      </c>
      <c r="D28" s="117" t="s">
        <v>417</v>
      </c>
      <c r="E28" s="117" t="s">
        <v>418</v>
      </c>
      <c r="F28" s="117" t="s">
        <v>419</v>
      </c>
      <c r="G28" s="116" t="s">
        <v>30</v>
      </c>
      <c r="H28" s="116">
        <v>3</v>
      </c>
      <c r="I28" s="118">
        <v>10</v>
      </c>
    </row>
    <row r="29" spans="1:9" ht="72" x14ac:dyDescent="0.25">
      <c r="A29" s="28">
        <f t="shared" si="0"/>
        <v>0</v>
      </c>
      <c r="B29" s="58">
        <v>27</v>
      </c>
      <c r="C29" s="116" t="s">
        <v>28</v>
      </c>
      <c r="D29" s="117" t="s">
        <v>420</v>
      </c>
      <c r="E29" s="117" t="s">
        <v>421</v>
      </c>
      <c r="F29" s="117" t="s">
        <v>422</v>
      </c>
      <c r="G29" s="116" t="s">
        <v>30</v>
      </c>
      <c r="H29" s="116">
        <v>2</v>
      </c>
      <c r="I29" s="118"/>
    </row>
    <row r="30" spans="1:9" ht="48" x14ac:dyDescent="0.25">
      <c r="A30" s="28">
        <f t="shared" si="0"/>
        <v>0</v>
      </c>
      <c r="B30" s="58">
        <v>28</v>
      </c>
      <c r="C30" s="116" t="s">
        <v>28</v>
      </c>
      <c r="D30" s="117" t="s">
        <v>423</v>
      </c>
      <c r="E30" s="117" t="s">
        <v>424</v>
      </c>
      <c r="F30" s="117" t="s">
        <v>425</v>
      </c>
      <c r="G30" s="116" t="s">
        <v>30</v>
      </c>
      <c r="H30" s="116">
        <v>1</v>
      </c>
      <c r="I30" s="118"/>
    </row>
    <row r="31" spans="1:9" ht="72" x14ac:dyDescent="0.25">
      <c r="A31" s="28">
        <f t="shared" si="0"/>
        <v>1</v>
      </c>
      <c r="B31" s="58">
        <v>29</v>
      </c>
      <c r="C31" s="116" t="s">
        <v>28</v>
      </c>
      <c r="D31" s="117" t="s">
        <v>426</v>
      </c>
      <c r="E31" s="117" t="s">
        <v>427</v>
      </c>
      <c r="F31" s="117" t="s">
        <v>428</v>
      </c>
      <c r="G31" s="116" t="s">
        <v>30</v>
      </c>
      <c r="H31" s="116">
        <v>3</v>
      </c>
      <c r="I31" s="118">
        <v>1</v>
      </c>
    </row>
    <row r="32" spans="1:9" ht="72.75" thickBot="1" x14ac:dyDescent="0.3">
      <c r="A32" s="28">
        <f t="shared" si="0"/>
        <v>7</v>
      </c>
      <c r="B32" s="59">
        <v>30</v>
      </c>
      <c r="C32" s="116" t="s">
        <v>28</v>
      </c>
      <c r="D32" s="117" t="s">
        <v>429</v>
      </c>
      <c r="E32" s="117" t="s">
        <v>430</v>
      </c>
      <c r="F32" s="117" t="s">
        <v>431</v>
      </c>
      <c r="G32" s="116" t="s">
        <v>30</v>
      </c>
      <c r="H32" s="116">
        <v>3</v>
      </c>
      <c r="I32" s="118">
        <v>7</v>
      </c>
    </row>
  </sheetData>
  <sheetProtection formatCells="0" formatColumns="0" formatRows="0" insertColumns="0" insertRows="0" insertHyperlinks="0" deleteColumns="0" deleteRows="0" sort="0" autoFilter="0" pivotTables="0"/>
  <autoFilter ref="B2:I32" xr:uid="{00000000-0009-0000-0000-000001000000}"/>
  <mergeCells count="1">
    <mergeCell ref="K1:L1"/>
  </mergeCells>
  <dataValidations count="1">
    <dataValidation type="list" allowBlank="1" showInputMessage="1" showErrorMessage="1" sqref="H3:H32" xr:uid="{00000000-0002-0000-0100-000000000000}">
      <formula1>$K$2:$K$5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TENDENCIA_Botón3_Haga_clic_en">
                <anchor moveWithCells="1" sizeWithCells="1">
                  <from>
                    <xdr:col>10</xdr:col>
                    <xdr:colOff>19050</xdr:colOff>
                    <xdr:row>6</xdr:row>
                    <xdr:rowOff>9525</xdr:rowOff>
                  </from>
                  <to>
                    <xdr:col>11</xdr:col>
                    <xdr:colOff>581025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Hoja1!$A$1:$A$7</xm:f>
          </x14:formula1>
          <xm:sqref>C13:C32</xm:sqref>
        </x14:dataValidation>
        <x14:dataValidation type="list" allowBlank="1" showInputMessage="1" showErrorMessage="1" xr:uid="{00000000-0002-0000-0100-000002000000}">
          <x14:formula1>
            <xm:f>Hoja1!$A$9:$A$12</xm:f>
          </x14:formula1>
          <xm:sqref>G3:G32</xm:sqref>
        </x14:dataValidation>
        <x14:dataValidation type="list" allowBlank="1" showInputMessage="1" showErrorMessage="1" xr:uid="{00000000-0002-0000-0100-000003000000}">
          <x14:formula1>
            <xm:f>Hoja1!$A$1:$A$8</xm:f>
          </x14:formula1>
          <xm:sqref>C3:C12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B1:L12"/>
  <sheetViews>
    <sheetView showGridLines="0" topLeftCell="A7" zoomScale="110" zoomScaleNormal="110" workbookViewId="0">
      <selection activeCell="D4" sqref="D4"/>
    </sheetView>
  </sheetViews>
  <sheetFormatPr baseColWidth="10" defaultColWidth="9.140625" defaultRowHeight="15" x14ac:dyDescent="0.25"/>
  <cols>
    <col min="1" max="1" width="2" customWidth="1"/>
    <col min="2" max="2" width="4.140625" style="1" bestFit="1" customWidth="1"/>
    <col min="3" max="3" width="11.5703125" style="14" bestFit="1" customWidth="1"/>
    <col min="4" max="4" width="31.5703125" style="12" customWidth="1"/>
    <col min="5" max="5" width="40.85546875" style="12" customWidth="1"/>
    <col min="6" max="6" width="26.28515625" style="12" customWidth="1"/>
    <col min="7" max="7" width="6.5703125" style="14" bestFit="1" customWidth="1"/>
    <col min="8" max="8" width="12" style="14" customWidth="1"/>
    <col min="9" max="9" width="8.85546875" style="12" bestFit="1" customWidth="1"/>
    <col min="10" max="10" width="8.7109375" bestFit="1" customWidth="1"/>
  </cols>
  <sheetData>
    <row r="1" spans="2:12" ht="15.75" thickBot="1" x14ac:dyDescent="0.3">
      <c r="C1" s="1"/>
      <c r="D1" s="1"/>
      <c r="E1" s="1"/>
      <c r="F1" s="1"/>
      <c r="G1" s="1"/>
      <c r="H1" s="1"/>
      <c r="I1" s="1"/>
      <c r="K1" s="140" t="s">
        <v>23</v>
      </c>
      <c r="L1" s="141"/>
    </row>
    <row r="2" spans="2:12" ht="30" x14ac:dyDescent="0.25">
      <c r="B2" s="119" t="s">
        <v>20</v>
      </c>
      <c r="C2" s="120" t="s">
        <v>17</v>
      </c>
      <c r="D2" s="120" t="s">
        <v>18</v>
      </c>
      <c r="E2" s="120" t="s">
        <v>0</v>
      </c>
      <c r="F2" s="120" t="s">
        <v>341</v>
      </c>
      <c r="G2" s="120" t="s">
        <v>1</v>
      </c>
      <c r="H2" s="121" t="s">
        <v>19</v>
      </c>
      <c r="I2" s="122" t="s">
        <v>6</v>
      </c>
      <c r="K2" s="3">
        <v>3</v>
      </c>
      <c r="L2" s="4" t="s">
        <v>7</v>
      </c>
    </row>
    <row r="3" spans="2:12" ht="60" x14ac:dyDescent="0.25">
      <c r="B3" s="80">
        <v>1</v>
      </c>
      <c r="C3" s="81" t="str">
        <f>+VLOOKUP(I3,TENDENCIAS!$A$3:$I$32,3,FALSE)</f>
        <v>Interno</v>
      </c>
      <c r="D3" s="110" t="str">
        <f>+VLOOKUP(I3,TENDENCIAS!$A$3:$I$32,4,FALSE)</f>
        <v>Ingresos concentrados en proyectos a la medida</v>
      </c>
      <c r="E3" s="104" t="str">
        <f>+VLOOKUP(I3,TENDENCIAS!$A$3:$I$32,5,FALSE)</f>
        <v>Predominio de ingresos por proyecto, no recurrentes, frente a productos propios o suscripciones; vulnerable a la IA y a ciclos económicos. Fuente: análisis del autor con base en información pública del sector.</v>
      </c>
      <c r="F3" s="104" t="str">
        <f>+VLOOKUP(I3,TENDENCIAS!$A$3:$I$32,6,FALSE)</f>
        <v>Porcentaje de ingresos recurrentes (productos propios, suscripciones y servicios gestionados) a 2036</v>
      </c>
      <c r="G3" s="81" t="str">
        <f>+VLOOKUP(I3,TENDENCIAS!$A$3:$I$32,7,FALSE)</f>
        <v>D</v>
      </c>
      <c r="H3" s="81">
        <f>+VLOOKUP(I3,TENDENCIAS!$A$3:$I$32,8,FALSE)</f>
        <v>3</v>
      </c>
      <c r="I3" s="82">
        <v>1</v>
      </c>
      <c r="J3" s="72" t="str">
        <f>+'IMPACTOS CRUZADOS'!R4</f>
        <v>CONFLICTO</v>
      </c>
      <c r="K3" s="5">
        <v>2</v>
      </c>
      <c r="L3" s="6" t="s">
        <v>8</v>
      </c>
    </row>
    <row r="4" spans="2:12" ht="84" x14ac:dyDescent="0.25">
      <c r="B4" s="80">
        <v>2</v>
      </c>
      <c r="C4" s="81" t="str">
        <f>+VLOOKUP(I4,TENDENCIAS!$A$3:$I$32,3,FALSE)</f>
        <v>Tecnológico</v>
      </c>
      <c r="D4" s="110" t="str">
        <f>+VLOOKUP(I4,TENDENCIAS!$A$3:$I$32,4,FALSE)</f>
        <v>IA generativa y agentes en el desarrollo de software</v>
      </c>
      <c r="E4" s="104" t="str">
        <f>+VLOOKUP(I4,TENDENCIAS!$A$3:$I$32,5,FALSE)</f>
        <v>Asistentes de código y agentes de IA reducen tiempos y costos de desarrollo; cambian el modelo de cobro por horas y la composición de los equipos. El 68 % de las empresas de software prioriza la IA. Fuente: La República (2025).</v>
      </c>
      <c r="F4" s="104" t="str">
        <f>+VLOOKUP(I4,TENDENCIAS!$A$3:$I$32,6,FALSE)</f>
        <v>Porcentaje de tareas de desarrollo de software realizadas con asistencia de IA a 2036</v>
      </c>
      <c r="G4" s="81" t="str">
        <f>+VLOOKUP(I4,TENDENCIAS!$A$3:$I$32,7,FALSE)</f>
        <v>A</v>
      </c>
      <c r="H4" s="81">
        <f>+VLOOKUP(I4,TENDENCIAS!$A$3:$I$32,8,FALSE)</f>
        <v>3</v>
      </c>
      <c r="I4" s="82">
        <v>2</v>
      </c>
      <c r="J4" s="72" t="str">
        <f>+'IMPACTOS CRUZADOS'!R5</f>
        <v>CONFLICTO</v>
      </c>
      <c r="K4" s="5">
        <v>1</v>
      </c>
      <c r="L4" s="6" t="s">
        <v>9</v>
      </c>
    </row>
    <row r="5" spans="2:12" ht="48.75" thickBot="1" x14ac:dyDescent="0.3">
      <c r="B5" s="80">
        <v>3</v>
      </c>
      <c r="C5" s="81" t="str">
        <f>+VLOOKUP(I5,TENDENCIAS!$A$3:$I$32,3,FALSE)</f>
        <v>Económico</v>
      </c>
      <c r="D5" s="110" t="str">
        <f>+VLOOKUP(I5,TENDENCIAS!$A$3:$I$32,4,FALSE)</f>
        <v>Nearshoring de servicios de software</v>
      </c>
      <c r="E5" s="104" t="str">
        <f>+VLOOKUP(I5,TENDENCIAS!$A$3:$I$32,5,FALSE)</f>
        <v>Empresas de EE. UU. trasladan desarrollo a países con huso horario cercano; las exportaciones de servicios informáticos superaron USD 1.758 millones en 2024. Fuente: Fedesoft (2025).</v>
      </c>
      <c r="F5" s="104" t="str">
        <f>+VLOOKUP(I5,TENDENCIAS!$A$3:$I$32,6,FALSE)</f>
        <v>Valor de las exportaciones colombianas de servicios informáticos (USD millones) a 2036</v>
      </c>
      <c r="G5" s="81" t="str">
        <f>+VLOOKUP(I5,TENDENCIAS!$A$3:$I$32,7,FALSE)</f>
        <v>O</v>
      </c>
      <c r="H5" s="81">
        <f>+VLOOKUP(I5,TENDENCIAS!$A$3:$I$32,8,FALSE)</f>
        <v>3</v>
      </c>
      <c r="I5" s="82">
        <v>3</v>
      </c>
      <c r="J5" s="72" t="str">
        <f>+'IMPACTOS CRUZADOS'!R6</f>
        <v>PODER</v>
      </c>
      <c r="K5" s="7">
        <v>0</v>
      </c>
      <c r="L5" s="8" t="s">
        <v>10</v>
      </c>
    </row>
    <row r="6" spans="2:12" ht="60" x14ac:dyDescent="0.25">
      <c r="B6" s="80">
        <v>4</v>
      </c>
      <c r="C6" s="81" t="str">
        <f>+VLOOKUP(I6,TENDENCIAS!$A$3:$I$32,3,FALSE)</f>
        <v>Social</v>
      </c>
      <c r="D6" s="110" t="str">
        <f>+VLOOKUP(I6,TENDENCIAS!$A$3:$I$32,4,FALSE)</f>
        <v>Brecha de talento TI</v>
      </c>
      <c r="E6" s="104" t="str">
        <f>+VLOOKUP(I6,TENDENCIAS!$A$3:$I$32,5,FALSE)</f>
        <v>Déficit estimado de 83.000 profesionales que podría llegar a 89.000 en 2030; presiona salarios y disponibilidad de perfiles especializados. Fuente: Forbes Colombia (2026).</v>
      </c>
      <c r="F6" s="104" t="str">
        <f>+VLOOKUP(I6,TENDENCIAS!$A$3:$I$32,6,FALSE)</f>
        <v>Déficit de profesionales TI en Colombia a 2036</v>
      </c>
      <c r="G6" s="81" t="str">
        <f>+VLOOKUP(I6,TENDENCIAS!$A$3:$I$32,7,FALSE)</f>
        <v>A</v>
      </c>
      <c r="H6" s="81">
        <f>+VLOOKUP(I6,TENDENCIAS!$A$3:$I$32,8,FALSE)</f>
        <v>3</v>
      </c>
      <c r="I6" s="82">
        <v>4</v>
      </c>
      <c r="J6" s="72" t="str">
        <f>+'IMPACTOS CRUZADOS'!R7</f>
        <v>CONFLICTO</v>
      </c>
    </row>
    <row r="7" spans="2:12" ht="60" x14ac:dyDescent="0.25">
      <c r="B7" s="80">
        <v>5</v>
      </c>
      <c r="C7" s="81" t="str">
        <f>+VLOOKUP(I7,TENDENCIAS!$A$3:$I$32,3,FALSE)</f>
        <v>Tecnológico</v>
      </c>
      <c r="D7" s="110" t="str">
        <f>+VLOOKUP(I7,TENDENCIAS!$A$3:$I$32,4,FALSE)</f>
        <v>Ciberseguridad y desarrollo seguro</v>
      </c>
      <c r="E7" s="104" t="str">
        <f>+VLOOKUP(I7,TENDENCIAS!$A$3:$I$32,5,FALSE)</f>
        <v>Los clientes exigen DevSecOps, auditorías y cumplimiento; un incidente puede afectar gravemente la reputación del proveedor. Fuente: análisis del autor con base en información pública del sector.</v>
      </c>
      <c r="F7" s="104" t="str">
        <f>+VLOOKUP(I7,TENDENCIAS!$A$3:$I$32,6,FALSE)</f>
        <v>Número de incidentes de seguridad reportados en soluciones entregadas a 2036</v>
      </c>
      <c r="G7" s="81" t="str">
        <f>+VLOOKUP(I7,TENDENCIAS!$A$3:$I$32,7,FALSE)</f>
        <v>A</v>
      </c>
      <c r="H7" s="81">
        <f>+VLOOKUP(I7,TENDENCIAS!$A$3:$I$32,8,FALSE)</f>
        <v>3</v>
      </c>
      <c r="I7" s="82">
        <v>5</v>
      </c>
      <c r="J7" s="72" t="str">
        <f>+'IMPACTOS CRUZADOS'!R8</f>
        <v>CONFLICTO</v>
      </c>
    </row>
    <row r="8" spans="2:12" ht="60" x14ac:dyDescent="0.25">
      <c r="B8" s="80">
        <v>6</v>
      </c>
      <c r="C8" s="81" t="str">
        <f>+VLOOKUP(I8,TENDENCIAS!$A$3:$I$32,3,FALSE)</f>
        <v>Interno</v>
      </c>
      <c r="D8" s="110" t="str">
        <f>+VLOOKUP(I8,TENDENCIAS!$A$3:$I$32,4,FALSE)</f>
        <v>Cartera de clientes corporativos</v>
      </c>
      <c r="E8" s="104" t="str">
        <f>+VLOOKUP(I8,TENDENCIAS!$A$3:$I$32,5,FALSE)</f>
        <v>Referencias con marcas como AB InBev, Alpina, Davivienda y ETB, que facilitan nuevos negocios. Fuente: Imaginamos (s. f.-a).</v>
      </c>
      <c r="F8" s="104" t="str">
        <f>+VLOOKUP(I8,TENDENCIAS!$A$3:$I$32,6,FALSE)</f>
        <v>Número de clientes corporativos activos y tasa de retención anual a 2036</v>
      </c>
      <c r="G8" s="81" t="str">
        <f>+VLOOKUP(I8,TENDENCIAS!$A$3:$I$32,7,FALSE)</f>
        <v>F</v>
      </c>
      <c r="H8" s="81">
        <f>+VLOOKUP(I8,TENDENCIAS!$A$3:$I$32,8,FALSE)</f>
        <v>3</v>
      </c>
      <c r="I8" s="82">
        <v>6</v>
      </c>
      <c r="J8" s="72" t="str">
        <f>+'IMPACTOS CRUZADOS'!R9</f>
        <v>CONFLICTO</v>
      </c>
    </row>
    <row r="9" spans="2:12" ht="60" x14ac:dyDescent="0.25">
      <c r="B9" s="80">
        <v>7</v>
      </c>
      <c r="C9" s="81" t="str">
        <f>+VLOOKUP(I9,TENDENCIAS!$A$3:$I$32,3,FALSE)</f>
        <v>Interno</v>
      </c>
      <c r="D9" s="110" t="str">
        <f>+VLOOKUP(I9,TENDENCIAS!$A$3:$I$32,4,FALSE)</f>
        <v>Presencia comercial internacional limitada</v>
      </c>
      <c r="E9" s="104" t="str">
        <f>+VLOOKUP(I9,TENDENCIAS!$A$3:$I$32,5,FALSE)</f>
        <v>Operación concentrada en Colombia y Latinoamérica, con menor fuerza comercial que los competidores multinacionales en EE. UU. Fuente: análisis del autor con base en información pública del sector.</v>
      </c>
      <c r="F9" s="104" t="str">
        <f>+VLOOKUP(I9,TENDENCIAS!$A$3:$I$32,6,FALSE)</f>
        <v>Porcentaje de ingresos provenientes de clientes fuera de Colombia a 2036</v>
      </c>
      <c r="G9" s="81" t="str">
        <f>+VLOOKUP(I9,TENDENCIAS!$A$3:$I$32,7,FALSE)</f>
        <v>D</v>
      </c>
      <c r="H9" s="81">
        <f>+VLOOKUP(I9,TENDENCIAS!$A$3:$I$32,8,FALSE)</f>
        <v>3</v>
      </c>
      <c r="I9" s="82">
        <v>7</v>
      </c>
      <c r="J9" s="72" t="str">
        <f>+'IMPACTOS CRUZADOS'!R10</f>
        <v>CONFLICTO</v>
      </c>
    </row>
    <row r="10" spans="2:12" ht="72" x14ac:dyDescent="0.25">
      <c r="B10" s="80">
        <v>8</v>
      </c>
      <c r="C10" s="81" t="str">
        <f>+VLOOKUP(I10,TENDENCIAS!$A$3:$I$32,3,FALSE)</f>
        <v>Social</v>
      </c>
      <c r="D10" s="110" t="str">
        <f>+VLOOKUP(I10,TENDENCIAS!$A$3:$I$32,4,FALSE)</f>
        <v>Trabajo remoto y competencia global por talento</v>
      </c>
      <c r="E10" s="104" t="str">
        <f>+VLOOKUP(I10,TENDENCIAS!$A$3:$I$32,5,FALSE)</f>
        <v>Los profesionales colombianos pueden trabajar para empresas extranjeras con salarios en dólares, lo que eleva la rotación y el costo de retención. Fuente: análisis del autor con base en información pública del sector.</v>
      </c>
      <c r="F10" s="104" t="str">
        <f>+VLOOKUP(I10,TENDENCIAS!$A$3:$I$32,6,FALSE)</f>
        <v>Tasa anual de rotación del personal técnico de la empresa a 2036</v>
      </c>
      <c r="G10" s="81" t="str">
        <f>+VLOOKUP(I10,TENDENCIAS!$A$3:$I$32,7,FALSE)</f>
        <v>A</v>
      </c>
      <c r="H10" s="81">
        <f>+VLOOKUP(I10,TENDENCIAS!$A$3:$I$32,8,FALSE)</f>
        <v>3</v>
      </c>
      <c r="I10" s="82">
        <v>8</v>
      </c>
      <c r="J10" s="72" t="str">
        <f>+'IMPACTOS CRUZADOS'!R11</f>
        <v>CONFLICTO</v>
      </c>
    </row>
    <row r="11" spans="2:12" ht="48" x14ac:dyDescent="0.25">
      <c r="B11" s="80">
        <v>9</v>
      </c>
      <c r="C11" s="81" t="str">
        <f>+VLOOKUP(I11,TENDENCIAS!$A$3:$I$32,3,FALSE)</f>
        <v>Social</v>
      </c>
      <c r="D11" s="110" t="str">
        <f>+VLOOKUP(I11,TENDENCIAS!$A$3:$I$32,4,FALSE)</f>
        <v>Digitalización de pymes y consumidores</v>
      </c>
      <c r="E11" s="104" t="str">
        <f>+VLOOKUP(I11,TENDENCIAS!$A$3:$I$32,5,FALSE)</f>
        <v>Más empresas y usuarios exigen canales digitales, comercio electrónico y apps, lo que amplía el mercado potencial de servicios digitales. Fuente: La República (2025).</v>
      </c>
      <c r="F11" s="104" t="str">
        <f>+VLOOKUP(I11,TENDENCIAS!$A$3:$I$32,6,FALSE)</f>
        <v>Porcentaje de pymes colombianas con canales digitales de venta a 2036</v>
      </c>
      <c r="G11" s="81" t="str">
        <f>+VLOOKUP(I11,TENDENCIAS!$A$3:$I$32,7,FALSE)</f>
        <v>O</v>
      </c>
      <c r="H11" s="81">
        <f>+VLOOKUP(I11,TENDENCIAS!$A$3:$I$32,8,FALSE)</f>
        <v>3</v>
      </c>
      <c r="I11" s="82">
        <v>9</v>
      </c>
      <c r="J11" s="72" t="str">
        <f>+'IMPACTOS CRUZADOS'!R12</f>
        <v>CONFLICTO</v>
      </c>
    </row>
    <row r="12" spans="2:12" ht="60.75" thickBot="1" x14ac:dyDescent="0.3">
      <c r="B12" s="83">
        <v>10</v>
      </c>
      <c r="C12" s="84" t="str">
        <f>+VLOOKUP(I12,TENDENCIAS!$A$3:$I$32,3,FALSE)</f>
        <v>Interno</v>
      </c>
      <c r="D12" s="111" t="str">
        <f>+VLOOKUP(I12,TENDENCIAS!$A$3:$I$32,4,FALSE)</f>
        <v>Escala reducida frente a grandes competidores</v>
      </c>
      <c r="E12" s="105" t="str">
        <f>+VLOOKUP(I12,TENDENCIAS!$A$3:$I$32,5,FALSE)</f>
        <v>Con cerca de un centenar de colaboradores compite con firmas de miles de empleados en proyectos grandes. Fuente: LinkedIn (s. f.).</v>
      </c>
      <c r="F12" s="105" t="str">
        <f>+VLOOKUP(I12,TENDENCIAS!$A$3:$I$32,6,FALSE)</f>
        <v>Número de colaboradores de la empresa a 2036</v>
      </c>
      <c r="G12" s="84" t="str">
        <f>+VLOOKUP(I12,TENDENCIAS!$A$3:$I$32,7,FALSE)</f>
        <v>D</v>
      </c>
      <c r="H12" s="84">
        <f>+VLOOKUP(I12,TENDENCIAS!$A$3:$I$32,8,FALSE)</f>
        <v>3</v>
      </c>
      <c r="I12" s="85">
        <v>10</v>
      </c>
      <c r="J12" s="72" t="str">
        <f>+'IMPACTOS CRUZADOS'!R13</f>
        <v>CONFLICTO</v>
      </c>
    </row>
  </sheetData>
  <sheetProtection password="EE2B" sheet="1" objects="1" scenarios="1" formatCells="0" formatColumns="0" formatRows="0" insertColumns="0" insertRows="0" insertHyperlinks="0" deleteColumns="0" deleteRows="0" sort="0" autoFilter="0" pivotTables="0"/>
  <mergeCells count="1">
    <mergeCell ref="K1:L1"/>
  </mergeCells>
  <pageMargins left="0.7" right="0.7" top="0.75" bottom="0.75" header="0.3" footer="0.3"/>
  <pageSetup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KING_Botón1_Haga_clic_en">
                <anchor moveWithCells="1" sizeWithCells="1">
                  <from>
                    <xdr:col>9</xdr:col>
                    <xdr:colOff>561975</xdr:colOff>
                    <xdr:row>6</xdr:row>
                    <xdr:rowOff>0</xdr:rowOff>
                  </from>
                  <to>
                    <xdr:col>11</xdr:col>
                    <xdr:colOff>371475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ANKING_Botón3_Haga_clic_en">
                <anchor moveWithCells="1" sizeWithCells="1">
                  <from>
                    <xdr:col>10</xdr:col>
                    <xdr:colOff>0</xdr:colOff>
                    <xdr:row>8</xdr:row>
                    <xdr:rowOff>171450</xdr:rowOff>
                  </from>
                  <to>
                    <xdr:col>11</xdr:col>
                    <xdr:colOff>409575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V94"/>
  <sheetViews>
    <sheetView showGridLines="0" showRowColHeaders="0" workbookViewId="0">
      <selection activeCell="C5" sqref="C5"/>
    </sheetView>
  </sheetViews>
  <sheetFormatPr baseColWidth="10" defaultRowHeight="15" x14ac:dyDescent="0.25"/>
  <cols>
    <col min="2" max="2" width="9.85546875" bestFit="1" customWidth="1"/>
    <col min="3" max="3" width="5.85546875" customWidth="1"/>
    <col min="4" max="4" width="6.28515625" customWidth="1"/>
    <col min="5" max="5" width="5" customWidth="1"/>
    <col min="6" max="6" width="6.140625" customWidth="1"/>
    <col min="7" max="7" width="5" customWidth="1"/>
    <col min="8" max="8" width="6.5703125" customWidth="1"/>
    <col min="9" max="9" width="6.28515625" customWidth="1"/>
    <col min="10" max="10" width="6.140625" customWidth="1"/>
    <col min="11" max="11" width="6.7109375" customWidth="1"/>
    <col min="12" max="12" width="7" customWidth="1"/>
    <col min="13" max="13" width="12.7109375" bestFit="1" customWidth="1"/>
    <col min="14" max="14" width="4.85546875" bestFit="1" customWidth="1"/>
  </cols>
  <sheetData>
    <row r="2" spans="2:19" ht="20.25" thickBot="1" x14ac:dyDescent="0.35">
      <c r="B2" s="145" t="s">
        <v>16</v>
      </c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</row>
    <row r="3" spans="2:19" x14ac:dyDescent="0.25">
      <c r="B3" s="9"/>
      <c r="C3" s="22" t="s">
        <v>35</v>
      </c>
      <c r="D3" s="22" t="s">
        <v>36</v>
      </c>
      <c r="E3" s="22" t="s">
        <v>37</v>
      </c>
      <c r="F3" s="22" t="s">
        <v>38</v>
      </c>
      <c r="G3" s="22" t="s">
        <v>39</v>
      </c>
      <c r="H3" s="22" t="s">
        <v>40</v>
      </c>
      <c r="I3" s="22" t="s">
        <v>41</v>
      </c>
      <c r="J3" s="22" t="s">
        <v>42</v>
      </c>
      <c r="K3" s="22" t="s">
        <v>43</v>
      </c>
      <c r="L3" s="22" t="s">
        <v>44</v>
      </c>
      <c r="M3" s="19" t="s">
        <v>46</v>
      </c>
      <c r="N3" s="147" t="s">
        <v>15</v>
      </c>
    </row>
    <row r="4" spans="2:19" ht="15" customHeight="1" x14ac:dyDescent="0.25">
      <c r="B4" s="23" t="s">
        <v>35</v>
      </c>
      <c r="C4" s="87"/>
      <c r="D4" s="86">
        <v>3</v>
      </c>
      <c r="E4" s="86">
        <v>3</v>
      </c>
      <c r="F4" s="86">
        <v>2</v>
      </c>
      <c r="G4" s="86">
        <v>1</v>
      </c>
      <c r="H4" s="86">
        <v>2</v>
      </c>
      <c r="I4" s="86">
        <v>1</v>
      </c>
      <c r="J4" s="86">
        <v>2</v>
      </c>
      <c r="K4" s="86">
        <v>3</v>
      </c>
      <c r="L4" s="86">
        <v>1</v>
      </c>
      <c r="M4" s="20">
        <f>+SUM(C4:L4)</f>
        <v>18</v>
      </c>
      <c r="N4" s="147"/>
      <c r="O4" s="73">
        <v>1</v>
      </c>
      <c r="P4" s="28">
        <f>+IF(M4&gt;=MAX($M$4:$M$13)/2,1,0)</f>
        <v>1</v>
      </c>
      <c r="Q4" s="28">
        <f>+IF(C14&gt;=MAX($C$14:$L$14)/2,1,0)</f>
        <v>1</v>
      </c>
      <c r="R4" s="27" t="str">
        <f>+IF(AND(P4=1,Q4=1),"CONFLICTO",IF(AND(P4=0,Q4=1),"PODER",""))</f>
        <v>CONFLICTO</v>
      </c>
      <c r="S4" s="71"/>
    </row>
    <row r="5" spans="2:19" x14ac:dyDescent="0.25">
      <c r="B5" s="23" t="s">
        <v>36</v>
      </c>
      <c r="C5" s="86">
        <v>2</v>
      </c>
      <c r="D5" s="87"/>
      <c r="E5" s="86">
        <v>2</v>
      </c>
      <c r="F5" s="86">
        <v>0</v>
      </c>
      <c r="G5" s="86">
        <v>1</v>
      </c>
      <c r="H5" s="86">
        <v>1</v>
      </c>
      <c r="I5" s="86">
        <v>2</v>
      </c>
      <c r="J5" s="86">
        <v>3</v>
      </c>
      <c r="K5" s="86">
        <v>1</v>
      </c>
      <c r="L5" s="86">
        <v>0</v>
      </c>
      <c r="M5" s="20">
        <f>+SUM(C5:L5)</f>
        <v>12</v>
      </c>
      <c r="N5" s="147"/>
      <c r="O5" s="73">
        <v>2</v>
      </c>
      <c r="P5" s="28">
        <f>+IF(M5&gt;=MAX($M$4:$M$13)/2,1,0)</f>
        <v>1</v>
      </c>
      <c r="Q5" s="28">
        <f>+IF(D14&gt;=MAX(C14:L14)/2,1,0)</f>
        <v>1</v>
      </c>
      <c r="R5" s="27" t="str">
        <f t="shared" ref="R5:R13" si="0">+IF(AND(P5=1,Q5=1),"CONFLICTO",IF(AND(P5=0,Q5=1),"PODER",""))</f>
        <v>CONFLICTO</v>
      </c>
      <c r="S5" s="71"/>
    </row>
    <row r="6" spans="2:19" x14ac:dyDescent="0.25">
      <c r="B6" s="23" t="s">
        <v>37</v>
      </c>
      <c r="C6" s="86">
        <v>3</v>
      </c>
      <c r="D6" s="86">
        <v>0</v>
      </c>
      <c r="E6" s="87"/>
      <c r="F6" s="86">
        <v>3</v>
      </c>
      <c r="G6" s="86">
        <v>1</v>
      </c>
      <c r="H6" s="86">
        <v>0</v>
      </c>
      <c r="I6" s="86">
        <v>0</v>
      </c>
      <c r="J6" s="86">
        <v>0</v>
      </c>
      <c r="K6" s="86">
        <v>0</v>
      </c>
      <c r="L6" s="86">
        <v>1</v>
      </c>
      <c r="M6" s="20">
        <f t="shared" ref="M6:M13" si="1">+SUM(C6:L6)</f>
        <v>8</v>
      </c>
      <c r="N6" s="147"/>
      <c r="O6" s="73">
        <v>3</v>
      </c>
      <c r="P6" s="28">
        <f t="shared" ref="P6:P13" si="2">+IF(M6&gt;=MAX($M$4:$M$13)/2,1,0)</f>
        <v>0</v>
      </c>
      <c r="Q6" s="28">
        <f>+IF(E14&gt;=MAX(C14:L14)/2,1,0)</f>
        <v>1</v>
      </c>
      <c r="R6" s="27" t="str">
        <f t="shared" si="0"/>
        <v>PODER</v>
      </c>
      <c r="S6" s="71"/>
    </row>
    <row r="7" spans="2:19" x14ac:dyDescent="0.25">
      <c r="B7" s="23" t="s">
        <v>38</v>
      </c>
      <c r="C7" s="86">
        <v>1</v>
      </c>
      <c r="D7" s="86">
        <v>3</v>
      </c>
      <c r="E7" s="86">
        <v>0</v>
      </c>
      <c r="F7" s="87"/>
      <c r="G7" s="86">
        <v>1</v>
      </c>
      <c r="H7" s="86">
        <v>1</v>
      </c>
      <c r="I7" s="86">
        <v>1</v>
      </c>
      <c r="J7" s="86">
        <v>2</v>
      </c>
      <c r="K7" s="86">
        <v>1</v>
      </c>
      <c r="L7" s="86">
        <v>2</v>
      </c>
      <c r="M7" s="20">
        <f t="shared" si="1"/>
        <v>12</v>
      </c>
      <c r="N7" s="147"/>
      <c r="O7" s="73">
        <v>4</v>
      </c>
      <c r="P7" s="28">
        <f t="shared" si="2"/>
        <v>1</v>
      </c>
      <c r="Q7" s="28">
        <f>+IF(F14&gt;=MAX(C14:L14)/2,1,0)</f>
        <v>1</v>
      </c>
      <c r="R7" s="27" t="str">
        <f t="shared" si="0"/>
        <v>CONFLICTO</v>
      </c>
      <c r="S7" s="71"/>
    </row>
    <row r="8" spans="2:19" x14ac:dyDescent="0.25">
      <c r="B8" s="23" t="s">
        <v>39</v>
      </c>
      <c r="C8" s="86">
        <v>0</v>
      </c>
      <c r="D8" s="86">
        <v>1</v>
      </c>
      <c r="E8" s="86">
        <v>1</v>
      </c>
      <c r="F8" s="86">
        <v>0</v>
      </c>
      <c r="G8" s="87"/>
      <c r="H8" s="86">
        <v>2</v>
      </c>
      <c r="I8" s="86">
        <v>1</v>
      </c>
      <c r="J8" s="86">
        <v>1</v>
      </c>
      <c r="K8" s="86">
        <v>1</v>
      </c>
      <c r="L8" s="86">
        <v>2</v>
      </c>
      <c r="M8" s="20">
        <f t="shared" si="1"/>
        <v>9</v>
      </c>
      <c r="N8" s="147"/>
      <c r="O8" s="73">
        <v>5</v>
      </c>
      <c r="P8" s="28">
        <f t="shared" si="2"/>
        <v>1</v>
      </c>
      <c r="Q8" s="28">
        <f>+IF(G14&gt;=MAX(C14:L14)/2,1,0)</f>
        <v>1</v>
      </c>
      <c r="R8" s="27" t="str">
        <f t="shared" si="0"/>
        <v>CONFLICTO</v>
      </c>
      <c r="S8" s="71"/>
    </row>
    <row r="9" spans="2:19" x14ac:dyDescent="0.25">
      <c r="B9" s="23" t="s">
        <v>40</v>
      </c>
      <c r="C9" s="86">
        <v>2</v>
      </c>
      <c r="D9" s="86">
        <v>2</v>
      </c>
      <c r="E9" s="86">
        <v>2</v>
      </c>
      <c r="F9" s="86">
        <v>0</v>
      </c>
      <c r="G9" s="86">
        <v>0</v>
      </c>
      <c r="H9" s="87"/>
      <c r="I9" s="86">
        <v>2</v>
      </c>
      <c r="J9" s="86">
        <v>1</v>
      </c>
      <c r="K9" s="86">
        <v>0</v>
      </c>
      <c r="L9" s="86">
        <v>2</v>
      </c>
      <c r="M9" s="20">
        <f t="shared" si="1"/>
        <v>11</v>
      </c>
      <c r="N9" s="147"/>
      <c r="O9" s="73">
        <v>6</v>
      </c>
      <c r="P9" s="28">
        <f t="shared" si="2"/>
        <v>1</v>
      </c>
      <c r="Q9" s="28">
        <f>+IF(H14&gt;=MAX(C14:L14)/2,1,0)</f>
        <v>1</v>
      </c>
      <c r="R9" s="27" t="str">
        <f t="shared" si="0"/>
        <v>CONFLICTO</v>
      </c>
      <c r="S9" s="71"/>
    </row>
    <row r="10" spans="2:19" x14ac:dyDescent="0.25">
      <c r="B10" s="23" t="s">
        <v>41</v>
      </c>
      <c r="C10" s="86">
        <v>1</v>
      </c>
      <c r="D10" s="86">
        <v>2</v>
      </c>
      <c r="E10" s="86">
        <v>1</v>
      </c>
      <c r="F10" s="86">
        <v>0</v>
      </c>
      <c r="G10" s="86">
        <v>1</v>
      </c>
      <c r="H10" s="86">
        <v>2</v>
      </c>
      <c r="I10" s="87"/>
      <c r="J10" s="86">
        <v>0</v>
      </c>
      <c r="K10" s="86">
        <v>2</v>
      </c>
      <c r="L10" s="86">
        <v>1</v>
      </c>
      <c r="M10" s="20">
        <f t="shared" si="1"/>
        <v>10</v>
      </c>
      <c r="N10" s="147"/>
      <c r="O10" s="73">
        <v>7</v>
      </c>
      <c r="P10" s="28">
        <f t="shared" si="2"/>
        <v>1</v>
      </c>
      <c r="Q10" s="28">
        <f>+IF(I14&gt;=MAX(C14:L14)/2,1,0)</f>
        <v>1</v>
      </c>
      <c r="R10" s="27" t="str">
        <f>+IF(AND(P10=1,Q10=1),"CONFLICTO",IF(AND(P10=0,Q10=1),"PODER",""))</f>
        <v>CONFLICTO</v>
      </c>
      <c r="S10" s="71"/>
    </row>
    <row r="11" spans="2:19" x14ac:dyDescent="0.25">
      <c r="B11" s="23" t="s">
        <v>42</v>
      </c>
      <c r="C11" s="86">
        <v>3</v>
      </c>
      <c r="D11" s="86">
        <v>1</v>
      </c>
      <c r="E11" s="86">
        <v>2</v>
      </c>
      <c r="F11" s="86">
        <v>2</v>
      </c>
      <c r="G11" s="86">
        <v>2</v>
      </c>
      <c r="H11" s="86">
        <v>2</v>
      </c>
      <c r="I11" s="86">
        <v>1</v>
      </c>
      <c r="J11" s="87"/>
      <c r="K11" s="86">
        <v>0</v>
      </c>
      <c r="L11" s="86">
        <v>1</v>
      </c>
      <c r="M11" s="20">
        <f t="shared" si="1"/>
        <v>14</v>
      </c>
      <c r="N11" s="147"/>
      <c r="O11" s="73">
        <v>8</v>
      </c>
      <c r="P11" s="28">
        <f>+IF(M11&gt;=MAX($M$4:$M$13)/2,1,0)</f>
        <v>1</v>
      </c>
      <c r="Q11" s="28">
        <f>+IF(J14&gt;=MAX(C14:L14)/2,1,0)</f>
        <v>1</v>
      </c>
      <c r="R11" s="27" t="str">
        <f t="shared" si="0"/>
        <v>CONFLICTO</v>
      </c>
      <c r="S11" s="71"/>
    </row>
    <row r="12" spans="2:19" x14ac:dyDescent="0.25">
      <c r="B12" s="23" t="s">
        <v>43</v>
      </c>
      <c r="C12" s="86">
        <v>2</v>
      </c>
      <c r="D12" s="86">
        <v>3</v>
      </c>
      <c r="E12" s="86">
        <v>1</v>
      </c>
      <c r="F12" s="86">
        <v>1</v>
      </c>
      <c r="G12" s="86">
        <v>1</v>
      </c>
      <c r="H12" s="86">
        <v>1</v>
      </c>
      <c r="I12" s="86">
        <v>2</v>
      </c>
      <c r="J12" s="86">
        <v>1</v>
      </c>
      <c r="K12" s="87"/>
      <c r="L12" s="86">
        <v>1</v>
      </c>
      <c r="M12" s="20">
        <f t="shared" si="1"/>
        <v>13</v>
      </c>
      <c r="N12" s="147"/>
      <c r="O12" s="73">
        <v>9</v>
      </c>
      <c r="P12" s="28">
        <f t="shared" si="2"/>
        <v>1</v>
      </c>
      <c r="Q12" s="28">
        <f>+IF(K14&gt;=MAX(C14:L14)/2,1,0)</f>
        <v>1</v>
      </c>
      <c r="R12" s="27" t="str">
        <f t="shared" si="0"/>
        <v>CONFLICTO</v>
      </c>
      <c r="S12" s="71"/>
    </row>
    <row r="13" spans="2:19" ht="15.75" thickBot="1" x14ac:dyDescent="0.3">
      <c r="B13" s="23" t="s">
        <v>44</v>
      </c>
      <c r="C13" s="86">
        <v>0</v>
      </c>
      <c r="D13" s="86">
        <v>1</v>
      </c>
      <c r="E13" s="86">
        <v>2</v>
      </c>
      <c r="F13" s="86">
        <v>1</v>
      </c>
      <c r="G13" s="86">
        <v>1</v>
      </c>
      <c r="H13" s="86">
        <v>3</v>
      </c>
      <c r="I13" s="86">
        <v>1</v>
      </c>
      <c r="J13" s="86">
        <v>0</v>
      </c>
      <c r="K13" s="86">
        <v>0</v>
      </c>
      <c r="L13" s="87"/>
      <c r="M13" s="20">
        <f t="shared" si="1"/>
        <v>9</v>
      </c>
      <c r="N13" s="147"/>
      <c r="O13" s="73">
        <v>10</v>
      </c>
      <c r="P13" s="28">
        <f t="shared" si="2"/>
        <v>1</v>
      </c>
      <c r="Q13" s="28">
        <f>+IF(L14&gt;=MAX(C14:L14)/2,1,0)</f>
        <v>1</v>
      </c>
      <c r="R13" s="27" t="str">
        <f t="shared" si="0"/>
        <v>CONFLICTO</v>
      </c>
      <c r="S13" s="71"/>
    </row>
    <row r="14" spans="2:19" ht="15.75" thickBot="1" x14ac:dyDescent="0.3">
      <c r="B14" s="18" t="s">
        <v>45</v>
      </c>
      <c r="C14" s="21">
        <f>SUM(C4:C13)</f>
        <v>14</v>
      </c>
      <c r="D14" s="21">
        <f t="shared" ref="D14:L14" si="3">SUM(D4:D13)</f>
        <v>16</v>
      </c>
      <c r="E14" s="21">
        <f t="shared" si="3"/>
        <v>14</v>
      </c>
      <c r="F14" s="21">
        <f t="shared" si="3"/>
        <v>9</v>
      </c>
      <c r="G14" s="21">
        <f t="shared" si="3"/>
        <v>9</v>
      </c>
      <c r="H14" s="21">
        <f t="shared" si="3"/>
        <v>14</v>
      </c>
      <c r="I14" s="21">
        <f t="shared" si="3"/>
        <v>11</v>
      </c>
      <c r="J14" s="21">
        <f t="shared" si="3"/>
        <v>10</v>
      </c>
      <c r="K14" s="21">
        <f t="shared" si="3"/>
        <v>8</v>
      </c>
      <c r="L14" s="21">
        <f t="shared" si="3"/>
        <v>11</v>
      </c>
      <c r="M14" s="15"/>
      <c r="N14" s="16"/>
    </row>
    <row r="15" spans="2:19" ht="20.25" thickBot="1" x14ac:dyDescent="0.35">
      <c r="B15" s="146" t="s">
        <v>14</v>
      </c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7"/>
    </row>
    <row r="16" spans="2:19" ht="15.75" thickBot="1" x14ac:dyDescent="0.3">
      <c r="L16" s="26" t="s">
        <v>47</v>
      </c>
      <c r="M16" s="25">
        <f>+MAX(M4:M13,C14:L14)</f>
        <v>18</v>
      </c>
    </row>
    <row r="17" spans="1:22" ht="15.75" thickBot="1" x14ac:dyDescent="0.3">
      <c r="B17" s="140" t="s">
        <v>23</v>
      </c>
      <c r="C17" s="144"/>
      <c r="D17" s="141"/>
    </row>
    <row r="18" spans="1:22" x14ac:dyDescent="0.25">
      <c r="B18" s="3">
        <v>3</v>
      </c>
      <c r="C18" s="148" t="s">
        <v>7</v>
      </c>
      <c r="D18" s="149"/>
    </row>
    <row r="19" spans="1:22" x14ac:dyDescent="0.25">
      <c r="B19" s="5">
        <v>2</v>
      </c>
      <c r="C19" s="150" t="s">
        <v>8</v>
      </c>
      <c r="D19" s="151"/>
    </row>
    <row r="20" spans="1:22" x14ac:dyDescent="0.25">
      <c r="B20" s="5">
        <v>1</v>
      </c>
      <c r="C20" s="150" t="s">
        <v>9</v>
      </c>
      <c r="D20" s="151"/>
    </row>
    <row r="21" spans="1:22" ht="15.75" thickBot="1" x14ac:dyDescent="0.3">
      <c r="B21" s="7">
        <v>0</v>
      </c>
      <c r="C21" s="142" t="s">
        <v>10</v>
      </c>
      <c r="D21" s="143"/>
    </row>
    <row r="23" spans="1:2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</row>
    <row r="24" spans="1:2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</row>
    <row r="25" spans="1:2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</row>
    <row r="26" spans="1:2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</row>
    <row r="28" spans="1:22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</row>
    <row r="29" spans="1:2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</row>
    <row r="30" spans="1:22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</row>
    <row r="31" spans="1:2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</row>
    <row r="32" spans="1:22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</row>
    <row r="33" spans="1:2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</row>
    <row r="34" spans="1:22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</row>
    <row r="35" spans="1:2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</row>
    <row r="36" spans="1:22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</row>
    <row r="37" spans="1:2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</row>
    <row r="38" spans="1:2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</row>
    <row r="39" spans="1:2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</row>
    <row r="40" spans="1:22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</row>
    <row r="41" spans="1:22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</row>
    <row r="42" spans="1:22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</row>
    <row r="43" spans="1:22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</row>
    <row r="44" spans="1:22" x14ac:dyDescent="0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5" spans="1:22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1:22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</row>
    <row r="47" spans="1:22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</row>
    <row r="48" spans="1:22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</row>
    <row r="49" spans="1:22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</row>
    <row r="50" spans="1:22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</row>
    <row r="51" spans="1:22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</row>
    <row r="52" spans="1:22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</row>
    <row r="53" spans="1:22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</row>
    <row r="54" spans="1:22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</row>
    <row r="55" spans="1:22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</row>
    <row r="56" spans="1:22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</row>
    <row r="57" spans="1:22" x14ac:dyDescent="0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</row>
    <row r="58" spans="1:22" x14ac:dyDescent="0.2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59" spans="1:22" x14ac:dyDescent="0.2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</row>
    <row r="60" spans="1:22" x14ac:dyDescent="0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</row>
    <row r="61" spans="1:22" x14ac:dyDescent="0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</row>
    <row r="62" spans="1:22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</row>
    <row r="63" spans="1:22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</row>
    <row r="64" spans="1:22" x14ac:dyDescent="0.2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</row>
    <row r="65" spans="1:22" x14ac:dyDescent="0.2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</row>
    <row r="66" spans="1:22" x14ac:dyDescent="0.2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</row>
    <row r="67" spans="1:22" x14ac:dyDescent="0.2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</row>
    <row r="68" spans="1:22" x14ac:dyDescent="0.2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</row>
    <row r="69" spans="1:22" x14ac:dyDescent="0.2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</row>
    <row r="70" spans="1:22" x14ac:dyDescent="0.2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</row>
    <row r="71" spans="1:22" x14ac:dyDescent="0.2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</row>
    <row r="72" spans="1:22" x14ac:dyDescent="0.2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</row>
    <row r="73" spans="1:22" x14ac:dyDescent="0.2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</row>
    <row r="74" spans="1:22" x14ac:dyDescent="0.2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</row>
    <row r="75" spans="1:22" x14ac:dyDescent="0.2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</row>
    <row r="76" spans="1:22" x14ac:dyDescent="0.2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</row>
    <row r="77" spans="1:22" x14ac:dyDescent="0.2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</row>
    <row r="78" spans="1:22" x14ac:dyDescent="0.2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</row>
    <row r="79" spans="1:22" x14ac:dyDescent="0.2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</row>
    <row r="80" spans="1:22" x14ac:dyDescent="0.2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</row>
    <row r="81" spans="1:22" x14ac:dyDescent="0.2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</row>
    <row r="82" spans="1:22" x14ac:dyDescent="0.2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</row>
    <row r="83" spans="1:22" x14ac:dyDescent="0.2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</row>
    <row r="84" spans="1:22" x14ac:dyDescent="0.2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</row>
    <row r="85" spans="1:22" x14ac:dyDescent="0.2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</row>
    <row r="86" spans="1:22" x14ac:dyDescent="0.2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</row>
    <row r="87" spans="1:22" x14ac:dyDescent="0.2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</row>
    <row r="88" spans="1:22" x14ac:dyDescent="0.2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</row>
    <row r="89" spans="1:22" x14ac:dyDescent="0.2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</row>
    <row r="90" spans="1:22" x14ac:dyDescent="0.2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</row>
    <row r="91" spans="1:22" x14ac:dyDescent="0.2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</row>
    <row r="92" spans="1:22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</row>
    <row r="93" spans="1:22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</row>
    <row r="94" spans="1:22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</row>
  </sheetData>
  <sheetProtection password="EDEB" sheet="1" formatCells="0" formatColumns="0" formatRows="0" insertColumns="0" insertRows="0" insertHyperlinks="0" deleteColumns="0" deleteRows="0" sort="0" autoFilter="0" pivotTables="0"/>
  <mergeCells count="8">
    <mergeCell ref="C21:D21"/>
    <mergeCell ref="B17:D17"/>
    <mergeCell ref="B2:M2"/>
    <mergeCell ref="B15:L15"/>
    <mergeCell ref="N3:N13"/>
    <mergeCell ref="C18:D18"/>
    <mergeCell ref="C19:D19"/>
    <mergeCell ref="C20:D20"/>
  </mergeCells>
  <dataValidations count="1">
    <dataValidation type="list" allowBlank="1" showInputMessage="1" showErrorMessage="1" sqref="D4:L4 L5:L12 K5:K11 J5:J10 I5:I9 H5:H8 G5:G7 F5:F6 E5 C5:C13 D13:K13 D6:D12 E7:E12 F8:F12 G9:G12 H10:H12 I11:I12 J12" xr:uid="{00000000-0002-0000-0300-000000000000}">
      <formula1>$B$18:$B$21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IMPACTOSCRUZADOS_Botón7_Haga_clic_en">
                <anchor moveWithCells="1" sizeWithCells="1">
                  <from>
                    <xdr:col>14</xdr:col>
                    <xdr:colOff>142875</xdr:colOff>
                    <xdr:row>1</xdr:row>
                    <xdr:rowOff>152400</xdr:rowOff>
                  </from>
                  <to>
                    <xdr:col>15</xdr:col>
                    <xdr:colOff>561975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otón8_Haga_clic_en">
                <anchor moveWithCells="1" sizeWithCells="1">
                  <from>
                    <xdr:col>14</xdr:col>
                    <xdr:colOff>133350</xdr:colOff>
                    <xdr:row>4</xdr:row>
                    <xdr:rowOff>133350</xdr:rowOff>
                  </from>
                  <to>
                    <xdr:col>15</xdr:col>
                    <xdr:colOff>542925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K19"/>
  <sheetViews>
    <sheetView showGridLines="0" showRowColHeaders="0" zoomScale="110" zoomScaleNormal="110" workbookViewId="0">
      <selection activeCell="K3" sqref="K3"/>
    </sheetView>
  </sheetViews>
  <sheetFormatPr baseColWidth="10" defaultRowHeight="15" x14ac:dyDescent="0.25"/>
  <cols>
    <col min="1" max="1" width="3.140625" customWidth="1"/>
    <col min="2" max="2" width="5.42578125" customWidth="1"/>
    <col min="3" max="3" width="8.140625" customWidth="1"/>
  </cols>
  <sheetData>
    <row r="1" spans="2:11" ht="4.5" customHeight="1" x14ac:dyDescent="0.25"/>
    <row r="2" spans="2:11" ht="15" customHeight="1" x14ac:dyDescent="0.25">
      <c r="K2" s="41" t="s">
        <v>139</v>
      </c>
    </row>
    <row r="3" spans="2:11" x14ac:dyDescent="0.25">
      <c r="B3" s="147" t="s">
        <v>14</v>
      </c>
      <c r="C3" t="s">
        <v>13</v>
      </c>
      <c r="J3" s="27">
        <v>1</v>
      </c>
      <c r="K3" s="13" t="str">
        <f>+IFERROR(VLOOKUP(J3,Hoja1!$C$23:$I$33,7,FALSE),"")</f>
        <v>Nearshoring de servicios de software</v>
      </c>
    </row>
    <row r="4" spans="2:11" x14ac:dyDescent="0.25">
      <c r="B4" s="147"/>
      <c r="J4" s="27">
        <v>2</v>
      </c>
      <c r="K4" s="13" t="str">
        <f>+IFERROR(VLOOKUP(J4,Hoja1!$C$23:$I$33,7,FALSE),"")</f>
        <v/>
      </c>
    </row>
    <row r="5" spans="2:11" ht="12.75" customHeight="1" x14ac:dyDescent="0.25">
      <c r="B5" s="147"/>
      <c r="J5" s="27">
        <v>3</v>
      </c>
      <c r="K5" s="13" t="str">
        <f>+IFERROR(VLOOKUP(J5,Hoja1!$C$23:$I$33,7,FALSE),"")</f>
        <v/>
      </c>
    </row>
    <row r="6" spans="2:11" ht="13.5" customHeight="1" x14ac:dyDescent="0.25">
      <c r="B6" s="147"/>
      <c r="J6" s="27">
        <v>4</v>
      </c>
      <c r="K6" s="13" t="str">
        <f>+IFERROR(VLOOKUP(J6,Hoja1!$C$23:$I$33,7,FALSE),"")</f>
        <v/>
      </c>
    </row>
    <row r="7" spans="2:11" ht="11.25" customHeight="1" x14ac:dyDescent="0.25">
      <c r="B7" s="147"/>
      <c r="J7" s="27">
        <v>5</v>
      </c>
      <c r="K7" s="13" t="str">
        <f>+IFERROR(VLOOKUP(J7,Hoja1!$C$23:$I$33,7,FALSE),"")</f>
        <v/>
      </c>
    </row>
    <row r="8" spans="2:11" ht="12.75" customHeight="1" x14ac:dyDescent="0.25">
      <c r="B8" s="147"/>
      <c r="J8" s="27">
        <v>6</v>
      </c>
      <c r="K8" s="13" t="str">
        <f>+IFERROR(VLOOKUP(J8,Hoja1!$C$23:$I$33,7,FALSE),"")</f>
        <v/>
      </c>
    </row>
    <row r="9" spans="2:11" ht="14.25" customHeight="1" x14ac:dyDescent="0.25">
      <c r="B9" s="147"/>
      <c r="C9" t="s">
        <v>12</v>
      </c>
      <c r="J9" s="27">
        <v>7</v>
      </c>
      <c r="K9" s="13" t="str">
        <f>+IFERROR(VLOOKUP(J9,Hoja1!$C$23:$I$33,7,FALSE),"")</f>
        <v/>
      </c>
    </row>
    <row r="10" spans="2:11" ht="13.5" customHeight="1" x14ac:dyDescent="0.25">
      <c r="B10" s="147"/>
      <c r="J10" s="27">
        <v>8</v>
      </c>
      <c r="K10" s="13" t="str">
        <f>+IFERROR(VLOOKUP(J10,Hoja1!$C$23:$I$33,7,FALSE),"")</f>
        <v/>
      </c>
    </row>
    <row r="11" spans="2:11" x14ac:dyDescent="0.25">
      <c r="B11" s="147"/>
      <c r="K11" s="41" t="s">
        <v>140</v>
      </c>
    </row>
    <row r="12" spans="2:11" x14ac:dyDescent="0.25">
      <c r="B12" s="147"/>
      <c r="J12" s="27">
        <v>1</v>
      </c>
      <c r="K12" s="13" t="str">
        <f>IFERROR(VLOOKUP(J12,Hoja1!$D$23:$I$33,6,FALSE),"")</f>
        <v>Ingresos concentrados en proyectos a la medida</v>
      </c>
    </row>
    <row r="13" spans="2:11" x14ac:dyDescent="0.25">
      <c r="B13" s="147"/>
      <c r="J13" s="27">
        <v>2</v>
      </c>
      <c r="K13" s="13" t="str">
        <f>IFERROR(VLOOKUP(J13,Hoja1!$D$23:$I$33,6,FALSE),"")</f>
        <v>IA generativa y agentes en el desarrollo de software</v>
      </c>
    </row>
    <row r="14" spans="2:11" ht="15.75" customHeight="1" x14ac:dyDescent="0.25">
      <c r="B14" s="147"/>
      <c r="C14" t="s">
        <v>11</v>
      </c>
      <c r="J14" s="27">
        <v>3</v>
      </c>
      <c r="K14" s="13" t="str">
        <f>IFERROR(VLOOKUP(J14,Hoja1!$D$23:$I$33,6,FALSE),"")</f>
        <v>Brecha de talento TI</v>
      </c>
    </row>
    <row r="15" spans="2:11" x14ac:dyDescent="0.25">
      <c r="B15" s="147"/>
      <c r="J15" s="27">
        <v>4</v>
      </c>
      <c r="K15" s="13" t="str">
        <f>IFERROR(VLOOKUP(J15,Hoja1!$D$23:$I$33,6,FALSE),"")</f>
        <v>Ciberseguridad y desarrollo seguro</v>
      </c>
    </row>
    <row r="16" spans="2:11" x14ac:dyDescent="0.25">
      <c r="D16" t="s">
        <v>11</v>
      </c>
      <c r="F16" s="150" t="s">
        <v>12</v>
      </c>
      <c r="G16" s="150"/>
      <c r="I16" s="2" t="s">
        <v>13</v>
      </c>
      <c r="J16" s="27">
        <v>5</v>
      </c>
      <c r="K16" s="13" t="str">
        <f>IFERROR(VLOOKUP(J16,Hoja1!$D$23:$I$33,6,FALSE),"")</f>
        <v>Cartera de clientes corporativos</v>
      </c>
    </row>
    <row r="17" spans="4:11" ht="15.75" customHeight="1" x14ac:dyDescent="0.3">
      <c r="D17" s="152" t="s">
        <v>15</v>
      </c>
      <c r="E17" s="152"/>
      <c r="F17" s="152"/>
      <c r="G17" s="152"/>
      <c r="H17" s="152"/>
      <c r="I17" s="152"/>
      <c r="J17" s="27">
        <v>6</v>
      </c>
      <c r="K17" s="13" t="str">
        <f>IFERROR(VLOOKUP(J17,Hoja1!$D$23:$I$33,6,FALSE),"")</f>
        <v>Presencia comercial internacional limitada</v>
      </c>
    </row>
    <row r="18" spans="4:11" x14ac:dyDescent="0.25">
      <c r="J18" s="27">
        <v>7</v>
      </c>
      <c r="K18" s="13" t="str">
        <f>IFERROR(VLOOKUP(J18,Hoja1!$D$23:$I$33,6,FALSE),"")</f>
        <v>Trabajo remoto y competencia global por talento</v>
      </c>
    </row>
    <row r="19" spans="4:11" x14ac:dyDescent="0.25">
      <c r="J19" s="27">
        <v>8</v>
      </c>
      <c r="K19" s="13" t="str">
        <f>IFERROR(VLOOKUP(J19,Hoja1!$D$23:$I$33,6,FALSE),"")</f>
        <v>Digitalización de pymes y consumidores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F16:G16"/>
    <mergeCell ref="D17:I17"/>
    <mergeCell ref="B3:B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CMAC_Botón1_Haga_clic_en">
                <anchor moveWithCells="1" sizeWithCells="1">
                  <from>
                    <xdr:col>14</xdr:col>
                    <xdr:colOff>57150</xdr:colOff>
                    <xdr:row>1</xdr:row>
                    <xdr:rowOff>57150</xdr:rowOff>
                  </from>
                  <to>
                    <xdr:col>15</xdr:col>
                    <xdr:colOff>495300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ICMAC_Botón2_Haga_clic_en">
                <anchor moveWithCells="1" sizeWithCells="1">
                  <from>
                    <xdr:col>14</xdr:col>
                    <xdr:colOff>57150</xdr:colOff>
                    <xdr:row>4</xdr:row>
                    <xdr:rowOff>104775</xdr:rowOff>
                  </from>
                  <to>
                    <xdr:col>15</xdr:col>
                    <xdr:colOff>457200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H33"/>
  <sheetViews>
    <sheetView showGridLines="0" showRowColHeaders="0" topLeftCell="B1" zoomScaleNormal="100" workbookViewId="0">
      <selection activeCell="C3" sqref="C3:F3"/>
    </sheetView>
  </sheetViews>
  <sheetFormatPr baseColWidth="10" defaultRowHeight="15" x14ac:dyDescent="0.25"/>
  <cols>
    <col min="1" max="1" width="7.85546875" customWidth="1"/>
    <col min="3" max="3" width="21.28515625" bestFit="1" customWidth="1"/>
    <col min="4" max="4" width="8.7109375" style="1" customWidth="1"/>
    <col min="5" max="5" width="71" customWidth="1"/>
    <col min="6" max="6" width="12.42578125" customWidth="1"/>
    <col min="7" max="7" width="27.28515625" bestFit="1" customWidth="1"/>
    <col min="8" max="8" width="28.5703125" bestFit="1" customWidth="1"/>
    <col min="10" max="10" width="21.7109375" bestFit="1" customWidth="1"/>
  </cols>
  <sheetData>
    <row r="1" spans="2:8" ht="15.75" thickBot="1" x14ac:dyDescent="0.3"/>
    <row r="2" spans="2:8" ht="22.5" x14ac:dyDescent="0.4">
      <c r="C2" s="157" t="s">
        <v>48</v>
      </c>
      <c r="D2" s="158"/>
      <c r="E2" s="158"/>
      <c r="F2" s="159"/>
      <c r="G2" s="33"/>
    </row>
    <row r="3" spans="2:8" ht="26.25" thickBot="1" x14ac:dyDescent="0.3">
      <c r="C3" s="123" t="s">
        <v>2</v>
      </c>
      <c r="D3" s="124" t="s">
        <v>141</v>
      </c>
      <c r="E3" s="125" t="s">
        <v>21</v>
      </c>
      <c r="F3" s="126" t="s">
        <v>22</v>
      </c>
    </row>
    <row r="4" spans="2:8" x14ac:dyDescent="0.25">
      <c r="B4" s="156">
        <v>1</v>
      </c>
      <c r="C4" s="153" t="str">
        <f>IFERROR(VLOOKUP(B4,Hoja1!$G$24:$I$33,3,FALSE),"")</f>
        <v>Ingresos concentrados en proyectos a la medida</v>
      </c>
      <c r="D4" s="75">
        <v>1</v>
      </c>
      <c r="E4" s="88"/>
      <c r="F4" s="93"/>
    </row>
    <row r="5" spans="2:8" x14ac:dyDescent="0.25">
      <c r="B5" s="156"/>
      <c r="C5" s="154"/>
      <c r="D5" s="42">
        <v>2</v>
      </c>
      <c r="E5" s="89"/>
      <c r="F5" s="94"/>
    </row>
    <row r="6" spans="2:8" ht="15.75" thickBot="1" x14ac:dyDescent="0.3">
      <c r="B6" s="156"/>
      <c r="C6" s="155"/>
      <c r="D6" s="43">
        <v>3</v>
      </c>
      <c r="E6" s="90"/>
      <c r="F6" s="95"/>
    </row>
    <row r="7" spans="2:8" x14ac:dyDescent="0.25">
      <c r="B7" s="156">
        <v>2</v>
      </c>
      <c r="C7" s="153" t="str">
        <f>IFERROR(VLOOKUP(B7,Hoja1!$G$24:$I$33,3,FALSE),"")</f>
        <v>IA generativa y agentes en el desarrollo de software</v>
      </c>
      <c r="D7" s="75">
        <v>4</v>
      </c>
      <c r="E7" s="88"/>
      <c r="F7" s="93"/>
    </row>
    <row r="8" spans="2:8" x14ac:dyDescent="0.25">
      <c r="B8" s="156"/>
      <c r="C8" s="154"/>
      <c r="D8" s="42">
        <v>5</v>
      </c>
      <c r="E8" s="89"/>
      <c r="F8" s="94"/>
    </row>
    <row r="9" spans="2:8" ht="15.75" thickBot="1" x14ac:dyDescent="0.3">
      <c r="B9" s="156"/>
      <c r="C9" s="155"/>
      <c r="D9" s="43">
        <v>6</v>
      </c>
      <c r="E9" s="90"/>
      <c r="F9" s="95"/>
    </row>
    <row r="10" spans="2:8" x14ac:dyDescent="0.25">
      <c r="B10" s="156">
        <v>3</v>
      </c>
      <c r="C10" s="153" t="str">
        <f>IFERROR(VLOOKUP(B10,Hoja1!$G$24:$I$33,3,FALSE),"")</f>
        <v>Nearshoring de servicios de software</v>
      </c>
      <c r="D10" s="75">
        <v>7</v>
      </c>
      <c r="E10" s="88"/>
      <c r="F10" s="93"/>
    </row>
    <row r="11" spans="2:8" x14ac:dyDescent="0.25">
      <c r="B11" s="156"/>
      <c r="C11" s="154"/>
      <c r="D11" s="42">
        <v>8</v>
      </c>
      <c r="E11" s="89"/>
      <c r="F11" s="94"/>
    </row>
    <row r="12" spans="2:8" ht="15.75" thickBot="1" x14ac:dyDescent="0.3">
      <c r="B12" s="156"/>
      <c r="C12" s="155"/>
      <c r="D12" s="43">
        <v>9</v>
      </c>
      <c r="E12" s="90"/>
      <c r="F12" s="95"/>
    </row>
    <row r="13" spans="2:8" x14ac:dyDescent="0.25">
      <c r="B13" s="156">
        <v>4</v>
      </c>
      <c r="C13" s="153" t="str">
        <f>IFERROR(VLOOKUP(B13,Hoja1!$G$24:$I$33,3,FALSE),"")</f>
        <v>Brecha de talento TI</v>
      </c>
      <c r="D13" s="75">
        <v>10</v>
      </c>
      <c r="E13" s="88"/>
      <c r="F13" s="93"/>
    </row>
    <row r="14" spans="2:8" x14ac:dyDescent="0.25">
      <c r="B14" s="156"/>
      <c r="C14" s="154"/>
      <c r="D14" s="42">
        <v>11</v>
      </c>
      <c r="E14" s="89"/>
      <c r="F14" s="94"/>
      <c r="H14" t="str">
        <f>+IF(RANKING!J13="poder",RANKING!D13,IF(RANKING!J13="conflicto",RANKING!D13,""))</f>
        <v/>
      </c>
    </row>
    <row r="15" spans="2:8" ht="15.75" thickBot="1" x14ac:dyDescent="0.3">
      <c r="B15" s="156"/>
      <c r="C15" s="155"/>
      <c r="D15" s="43">
        <v>12</v>
      </c>
      <c r="E15" s="90"/>
      <c r="F15" s="95"/>
      <c r="H15" t="str">
        <f>+IF(RANKING!J14="poder",RANKING!D14,IF(RANKING!J14="conflicto",RANKING!D14,""))</f>
        <v/>
      </c>
    </row>
    <row r="16" spans="2:8" x14ac:dyDescent="0.25">
      <c r="B16" s="156">
        <v>5</v>
      </c>
      <c r="C16" s="153" t="str">
        <f>IFERROR(VLOOKUP(B16,Hoja1!$G$24:$I$33,3,FALSE),"")</f>
        <v>Ciberseguridad y desarrollo seguro</v>
      </c>
      <c r="D16" s="75">
        <v>13</v>
      </c>
      <c r="E16" s="88"/>
      <c r="F16" s="93"/>
      <c r="H16" t="str">
        <f>+IF(RANKING!J15="poder",RANKING!D15,IF(RANKING!J15="conflicto",RANKING!D15,""))</f>
        <v/>
      </c>
    </row>
    <row r="17" spans="2:6" x14ac:dyDescent="0.25">
      <c r="B17" s="156"/>
      <c r="C17" s="154"/>
      <c r="D17" s="42">
        <v>14</v>
      </c>
      <c r="E17" s="89"/>
      <c r="F17" s="94"/>
    </row>
    <row r="18" spans="2:6" ht="15.75" thickBot="1" x14ac:dyDescent="0.3">
      <c r="B18" s="156"/>
      <c r="C18" s="155"/>
      <c r="D18" s="43">
        <v>15</v>
      </c>
      <c r="E18" s="90"/>
      <c r="F18" s="95"/>
    </row>
    <row r="19" spans="2:6" x14ac:dyDescent="0.25">
      <c r="B19" s="156">
        <v>6</v>
      </c>
      <c r="C19" s="153" t="str">
        <f>IFERROR(VLOOKUP(B19,Hoja1!$G$24:$I$33,3,FALSE),"")</f>
        <v>Cartera de clientes corporativos</v>
      </c>
      <c r="D19" s="75">
        <v>16</v>
      </c>
      <c r="E19" s="88"/>
      <c r="F19" s="93"/>
    </row>
    <row r="20" spans="2:6" x14ac:dyDescent="0.25">
      <c r="B20" s="156"/>
      <c r="C20" s="154"/>
      <c r="D20" s="42">
        <v>17</v>
      </c>
      <c r="E20" s="89"/>
      <c r="F20" s="94"/>
    </row>
    <row r="21" spans="2:6" ht="15.75" thickBot="1" x14ac:dyDescent="0.3">
      <c r="B21" s="156"/>
      <c r="C21" s="155"/>
      <c r="D21" s="43">
        <v>18</v>
      </c>
      <c r="E21" s="90"/>
      <c r="F21" s="95"/>
    </row>
    <row r="22" spans="2:6" x14ac:dyDescent="0.25">
      <c r="B22" s="156">
        <v>7</v>
      </c>
      <c r="C22" s="153" t="str">
        <f>IFERROR(VLOOKUP(B22,Hoja1!$G$24:$I$33,3,FALSE),"")</f>
        <v>Presencia comercial internacional limitada</v>
      </c>
      <c r="D22" s="75">
        <v>19</v>
      </c>
      <c r="E22" s="88"/>
      <c r="F22" s="93"/>
    </row>
    <row r="23" spans="2:6" x14ac:dyDescent="0.25">
      <c r="B23" s="156"/>
      <c r="C23" s="154"/>
      <c r="D23" s="42">
        <v>20</v>
      </c>
      <c r="E23" s="89"/>
      <c r="F23" s="94"/>
    </row>
    <row r="24" spans="2:6" ht="15.75" thickBot="1" x14ac:dyDescent="0.3">
      <c r="B24" s="156"/>
      <c r="C24" s="155"/>
      <c r="D24" s="43">
        <v>21</v>
      </c>
      <c r="E24" s="90"/>
      <c r="F24" s="95"/>
    </row>
    <row r="25" spans="2:6" x14ac:dyDescent="0.25">
      <c r="B25" s="156">
        <v>8</v>
      </c>
      <c r="C25" s="153" t="str">
        <f>IFERROR(VLOOKUP(B25,Hoja1!$G$24:$I$33,3,FALSE),"")</f>
        <v>Trabajo remoto y competencia global por talento</v>
      </c>
      <c r="D25" s="75">
        <v>22</v>
      </c>
      <c r="E25" s="88"/>
      <c r="F25" s="93"/>
    </row>
    <row r="26" spans="2:6" x14ac:dyDescent="0.25">
      <c r="B26" s="156"/>
      <c r="C26" s="154"/>
      <c r="D26" s="42">
        <v>23</v>
      </c>
      <c r="E26" s="89"/>
      <c r="F26" s="94"/>
    </row>
    <row r="27" spans="2:6" ht="15.75" thickBot="1" x14ac:dyDescent="0.3">
      <c r="B27" s="156"/>
      <c r="C27" s="155"/>
      <c r="D27" s="43">
        <v>24</v>
      </c>
      <c r="E27" s="90"/>
      <c r="F27" s="95"/>
    </row>
    <row r="28" spans="2:6" x14ac:dyDescent="0.25">
      <c r="B28" s="156">
        <v>9</v>
      </c>
      <c r="C28" s="153" t="str">
        <f>IFERROR(VLOOKUP(B28,Hoja1!$G$24:$I$33,3,FALSE),"")</f>
        <v>Digitalización de pymes y consumidores</v>
      </c>
      <c r="D28" s="75">
        <v>25</v>
      </c>
      <c r="E28" s="88"/>
      <c r="F28" s="93"/>
    </row>
    <row r="29" spans="2:6" x14ac:dyDescent="0.25">
      <c r="B29" s="156"/>
      <c r="C29" s="154"/>
      <c r="D29" s="42">
        <v>26</v>
      </c>
      <c r="E29" s="89"/>
      <c r="F29" s="94"/>
    </row>
    <row r="30" spans="2:6" ht="15.75" thickBot="1" x14ac:dyDescent="0.3">
      <c r="B30" s="156"/>
      <c r="C30" s="155"/>
      <c r="D30" s="43">
        <v>27</v>
      </c>
      <c r="E30" s="90"/>
      <c r="F30" s="95"/>
    </row>
    <row r="31" spans="2:6" x14ac:dyDescent="0.25">
      <c r="B31" s="156">
        <v>10</v>
      </c>
      <c r="C31" s="153" t="str">
        <f>IFERROR(VLOOKUP(B31,Hoja1!$G$24:$I$33,3,FALSE),"")</f>
        <v>Escala reducida frente a grandes competidores</v>
      </c>
      <c r="D31" s="75">
        <v>28</v>
      </c>
      <c r="E31" s="88"/>
      <c r="F31" s="93"/>
    </row>
    <row r="32" spans="2:6" x14ac:dyDescent="0.25">
      <c r="B32" s="156"/>
      <c r="C32" s="154"/>
      <c r="D32" s="42">
        <v>29</v>
      </c>
      <c r="E32" s="89"/>
      <c r="F32" s="94"/>
    </row>
    <row r="33" spans="2:6" ht="15.75" thickBot="1" x14ac:dyDescent="0.3">
      <c r="B33" s="156"/>
      <c r="C33" s="155"/>
      <c r="D33" s="43">
        <v>30</v>
      </c>
      <c r="E33" s="90"/>
      <c r="F33" s="95"/>
    </row>
  </sheetData>
  <sheetProtection password="EDEB" sheet="1" formatCells="0" formatColumns="0" formatRows="0" insertColumns="0" insertRows="0" insertHyperlinks="0" deleteColumns="0" deleteRows="0" sort="0" autoFilter="0" pivotTables="0"/>
  <mergeCells count="21">
    <mergeCell ref="C4:C6"/>
    <mergeCell ref="C7:C9"/>
    <mergeCell ref="C10:C12"/>
    <mergeCell ref="C13:C15"/>
    <mergeCell ref="C2:F2"/>
    <mergeCell ref="C31:C33"/>
    <mergeCell ref="B4:B6"/>
    <mergeCell ref="B7:B9"/>
    <mergeCell ref="B10:B12"/>
    <mergeCell ref="B13:B15"/>
    <mergeCell ref="B16:B18"/>
    <mergeCell ref="B19:B21"/>
    <mergeCell ref="B22:B24"/>
    <mergeCell ref="B25:B27"/>
    <mergeCell ref="B28:B30"/>
    <mergeCell ref="B31:B33"/>
    <mergeCell ref="C16:C18"/>
    <mergeCell ref="C19:C21"/>
    <mergeCell ref="C22:C24"/>
    <mergeCell ref="C25:C27"/>
    <mergeCell ref="C28:C30"/>
  </mergeCells>
  <conditionalFormatting sqref="F4:F6">
    <cfRule type="expression" dxfId="11" priority="20">
      <formula>+SUM($F$4:$F$6)=1</formula>
    </cfRule>
  </conditionalFormatting>
  <conditionalFormatting sqref="F7:F9">
    <cfRule type="expression" dxfId="10" priority="10">
      <formula>+SUM($F$7:$F$9)=1</formula>
    </cfRule>
  </conditionalFormatting>
  <conditionalFormatting sqref="F10:F12">
    <cfRule type="expression" dxfId="9" priority="9">
      <formula>+SUM($F$10:$F$12)=1</formula>
    </cfRule>
  </conditionalFormatting>
  <conditionalFormatting sqref="F13:F15">
    <cfRule type="expression" dxfId="8" priority="8">
      <formula>+SUM($F$13:$F$15)=1</formula>
    </cfRule>
  </conditionalFormatting>
  <conditionalFormatting sqref="F16:F18">
    <cfRule type="expression" dxfId="7" priority="7">
      <formula>+SUM($F$16:$F$18)=1</formula>
    </cfRule>
  </conditionalFormatting>
  <conditionalFormatting sqref="F19:F21">
    <cfRule type="expression" dxfId="6" priority="6">
      <formula>+SUM($F$19:$F$21)=1</formula>
    </cfRule>
  </conditionalFormatting>
  <conditionalFormatting sqref="F22:F24">
    <cfRule type="expression" dxfId="5" priority="4">
      <formula>+SUM($F$22:$F$24)=1</formula>
    </cfRule>
  </conditionalFormatting>
  <conditionalFormatting sqref="F25:F27">
    <cfRule type="expression" dxfId="4" priority="3">
      <formula>+SUM($F$25:$F$27)=1</formula>
    </cfRule>
  </conditionalFormatting>
  <conditionalFormatting sqref="F28:F30">
    <cfRule type="expression" dxfId="3" priority="2">
      <formula>+SUM($F$28:$F$30)=1</formula>
    </cfRule>
  </conditionalFormatting>
  <conditionalFormatting sqref="F31:F33">
    <cfRule type="expression" dxfId="2" priority="1">
      <formula>+SUM($F$31:$F$33)=1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HIPOTESIS_Botón5_Haga_clic_en">
                <anchor moveWithCells="1" sizeWithCells="1">
                  <from>
                    <xdr:col>6</xdr:col>
                    <xdr:colOff>647700</xdr:colOff>
                    <xdr:row>7</xdr:row>
                    <xdr:rowOff>19050</xdr:rowOff>
                  </from>
                  <to>
                    <xdr:col>7</xdr:col>
                    <xdr:colOff>257175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otón6_Haga_clic_en">
                <anchor moveWithCells="1" sizeWithCells="1">
                  <from>
                    <xdr:col>6</xdr:col>
                    <xdr:colOff>619125</xdr:colOff>
                    <xdr:row>3</xdr:row>
                    <xdr:rowOff>38100</xdr:rowOff>
                  </from>
                  <to>
                    <xdr:col>7</xdr:col>
                    <xdr:colOff>247650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AG247"/>
  <sheetViews>
    <sheetView topLeftCell="B1" zoomScale="90" zoomScaleNormal="90" workbookViewId="0">
      <selection activeCell="AF85" sqref="AF85:AF247"/>
    </sheetView>
  </sheetViews>
  <sheetFormatPr baseColWidth="10" defaultRowHeight="15" x14ac:dyDescent="0.25"/>
  <cols>
    <col min="1" max="1" width="12.42578125" bestFit="1" customWidth="1"/>
    <col min="2" max="2" width="4.5703125" style="1" customWidth="1"/>
    <col min="3" max="3" width="5.7109375" style="1" customWidth="1"/>
    <col min="4" max="4" width="4.85546875" style="1" customWidth="1"/>
    <col min="5" max="5" width="5" style="1" customWidth="1"/>
    <col min="6" max="6" width="5.28515625" style="1" customWidth="1"/>
    <col min="7" max="7" width="6.5703125" style="36" customWidth="1"/>
    <col min="8" max="8" width="5.5703125" style="1" customWidth="1"/>
    <col min="9" max="9" width="6.140625" style="37" customWidth="1"/>
    <col min="10" max="10" width="6" style="1" customWidth="1"/>
    <col min="11" max="11" width="6.28515625" style="1" customWidth="1"/>
    <col min="12" max="12" width="6.42578125" style="1" customWidth="1"/>
    <col min="13" max="13" width="7.42578125" style="37" customWidth="1"/>
    <col min="14" max="14" width="7.140625" style="1" customWidth="1"/>
    <col min="15" max="15" width="6.5703125" style="1" customWidth="1"/>
    <col min="16" max="16" width="6.5703125" style="36" customWidth="1"/>
    <col min="17" max="17" width="7.140625" style="1" customWidth="1"/>
    <col min="18" max="18" width="6" style="1" customWidth="1"/>
    <col min="19" max="19" width="7" style="1" customWidth="1"/>
    <col min="20" max="30" width="5.5703125" style="1" customWidth="1"/>
    <col min="31" max="31" width="7" style="1" customWidth="1"/>
    <col min="32" max="32" width="24.85546875" style="1" bestFit="1" customWidth="1"/>
    <col min="33" max="33" width="11.42578125" style="1"/>
  </cols>
  <sheetData>
    <row r="1" spans="1:33" ht="19.5" x14ac:dyDescent="0.3">
      <c r="A1" s="160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2"/>
    </row>
    <row r="2" spans="1:33" x14ac:dyDescent="0.25">
      <c r="A2" s="164" t="s">
        <v>50</v>
      </c>
      <c r="B2" s="163" t="s">
        <v>3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5" t="s">
        <v>5</v>
      </c>
      <c r="AG2" s="166" t="s">
        <v>6</v>
      </c>
    </row>
    <row r="3" spans="1:33" x14ac:dyDescent="0.25">
      <c r="A3" s="164"/>
      <c r="B3" s="44">
        <v>1</v>
      </c>
      <c r="C3" s="44">
        <v>2</v>
      </c>
      <c r="D3" s="44">
        <v>3</v>
      </c>
      <c r="E3" s="44">
        <v>4</v>
      </c>
      <c r="F3" s="44">
        <v>5</v>
      </c>
      <c r="G3" s="44">
        <v>6</v>
      </c>
      <c r="H3" s="44">
        <v>7</v>
      </c>
      <c r="I3" s="44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165"/>
      <c r="AG3" s="166"/>
    </row>
    <row r="4" spans="1:33" x14ac:dyDescent="0.25">
      <c r="A4" s="46" t="s">
        <v>70</v>
      </c>
      <c r="B4" s="45">
        <f>+HIPOTESIS!F4</f>
        <v>0</v>
      </c>
      <c r="C4" s="45">
        <f>+HIPOTESIS!F5</f>
        <v>0</v>
      </c>
      <c r="D4" s="45">
        <f>+HIPOTESIS!F6</f>
        <v>0</v>
      </c>
      <c r="E4" s="45">
        <f>+HIPOTESIS!F7</f>
        <v>0</v>
      </c>
      <c r="F4" s="45">
        <f>+HIPOTESIS!F8</f>
        <v>0</v>
      </c>
      <c r="G4" s="45">
        <f>+HIPOTESIS!F9</f>
        <v>0</v>
      </c>
      <c r="H4" s="45">
        <f>+HIPOTESIS!F10</f>
        <v>0</v>
      </c>
      <c r="I4" s="45">
        <f>+HIPOTESIS!F11</f>
        <v>0</v>
      </c>
      <c r="J4" s="45">
        <f>+HIPOTESIS!F12</f>
        <v>0</v>
      </c>
      <c r="K4" s="45">
        <f>+HIPOTESIS!F13</f>
        <v>0</v>
      </c>
      <c r="L4" s="45">
        <f>+HIPOTESIS!F14</f>
        <v>0</v>
      </c>
      <c r="M4" s="45">
        <f>+HIPOTESIS!F15</f>
        <v>0</v>
      </c>
      <c r="N4" s="45">
        <f>+HIPOTESIS!F16</f>
        <v>0</v>
      </c>
      <c r="O4" s="45">
        <f>+HIPOTESIS!F17</f>
        <v>0</v>
      </c>
      <c r="P4" s="45">
        <f>+HIPOTESIS!F18</f>
        <v>0</v>
      </c>
      <c r="Q4" s="45">
        <f>+HIPOTESIS!F19</f>
        <v>0</v>
      </c>
      <c r="R4" s="45">
        <f>+HIPOTESIS!F20</f>
        <v>0</v>
      </c>
      <c r="S4" s="45">
        <f>+HIPOTESIS!F21</f>
        <v>0</v>
      </c>
      <c r="T4" s="45">
        <f>+HIPOTESIS!F22</f>
        <v>0</v>
      </c>
      <c r="U4" s="45">
        <f>+HIPOTESIS!F23</f>
        <v>0</v>
      </c>
      <c r="V4" s="45">
        <f>+HIPOTESIS!F24</f>
        <v>0</v>
      </c>
      <c r="W4" s="45">
        <f>+HIPOTESIS!F25</f>
        <v>0</v>
      </c>
      <c r="X4" s="45">
        <f>+HIPOTESIS!F26</f>
        <v>0</v>
      </c>
      <c r="Y4" s="45">
        <f>+HIPOTESIS!F27</f>
        <v>0</v>
      </c>
      <c r="Z4" s="45">
        <f>+HIPOTESIS!F28</f>
        <v>0</v>
      </c>
      <c r="AA4" s="45">
        <f>+HIPOTESIS!F28</f>
        <v>0</v>
      </c>
      <c r="AB4" s="45">
        <f>+HIPOTESIS!F30</f>
        <v>0</v>
      </c>
      <c r="AC4" s="45">
        <f>+HIPOTESIS!F31</f>
        <v>0</v>
      </c>
      <c r="AD4" s="45">
        <f>+HIPOTESIS!F32</f>
        <v>0</v>
      </c>
      <c r="AE4" s="45">
        <f>+HIPOTESIS!F33</f>
        <v>0</v>
      </c>
      <c r="AF4" s="31"/>
      <c r="AG4" s="32"/>
    </row>
    <row r="5" spans="1:33" x14ac:dyDescent="0.25">
      <c r="A5" s="10" t="s">
        <v>4</v>
      </c>
      <c r="B5" s="1" t="s">
        <v>143</v>
      </c>
      <c r="E5" s="1" t="s">
        <v>143</v>
      </c>
      <c r="H5" s="1" t="s">
        <v>143</v>
      </c>
      <c r="K5" s="1" t="s">
        <v>143</v>
      </c>
      <c r="N5" s="1" t="s">
        <v>143</v>
      </c>
      <c r="Q5" s="1" t="s">
        <v>143</v>
      </c>
      <c r="T5" s="1" t="s">
        <v>143</v>
      </c>
      <c r="V5" s="36"/>
      <c r="W5" s="1" t="s">
        <v>143</v>
      </c>
      <c r="X5" s="37"/>
      <c r="Z5" s="1" t="s">
        <v>143</v>
      </c>
      <c r="AB5" s="37"/>
      <c r="AC5" s="1" t="s">
        <v>143</v>
      </c>
      <c r="AE5" s="36"/>
      <c r="AF5" s="38">
        <f>+AVERAGEIF(B5:AE5,"=X",$B$4:$AE$4)</f>
        <v>0</v>
      </c>
      <c r="AG5" s="6"/>
    </row>
    <row r="6" spans="1:33" x14ac:dyDescent="0.25">
      <c r="A6" s="10" t="s">
        <v>51</v>
      </c>
      <c r="B6" s="1" t="s">
        <v>143</v>
      </c>
      <c r="E6" s="1" t="s">
        <v>143</v>
      </c>
      <c r="H6" s="1" t="s">
        <v>143</v>
      </c>
      <c r="K6" s="1" t="s">
        <v>143</v>
      </c>
      <c r="M6" s="47"/>
      <c r="O6" s="1" t="s">
        <v>143</v>
      </c>
      <c r="P6" s="48"/>
      <c r="Q6" s="1" t="s">
        <v>143</v>
      </c>
      <c r="T6" s="1" t="s">
        <v>143</v>
      </c>
      <c r="V6" s="36"/>
      <c r="W6" s="1" t="s">
        <v>143</v>
      </c>
      <c r="X6" s="37"/>
      <c r="Z6" s="1" t="s">
        <v>143</v>
      </c>
      <c r="AB6" s="47"/>
      <c r="AD6" s="1" t="s">
        <v>143</v>
      </c>
      <c r="AE6" s="48"/>
      <c r="AF6" s="38">
        <f t="shared" ref="AF6:AF69" si="0">+AVERAGEIF(B6:AE6,"=X",$B$4:$AE$4)</f>
        <v>0</v>
      </c>
      <c r="AG6" s="6"/>
    </row>
    <row r="7" spans="1:33" x14ac:dyDescent="0.25">
      <c r="A7" s="10" t="s">
        <v>52</v>
      </c>
      <c r="B7" s="1" t="s">
        <v>143</v>
      </c>
      <c r="E7" s="1" t="s">
        <v>143</v>
      </c>
      <c r="H7" s="1" t="s">
        <v>143</v>
      </c>
      <c r="K7" s="1" t="s">
        <v>143</v>
      </c>
      <c r="M7" s="1"/>
      <c r="P7" s="34" t="s">
        <v>143</v>
      </c>
      <c r="Q7" s="1" t="s">
        <v>143</v>
      </c>
      <c r="T7" s="1" t="s">
        <v>143</v>
      </c>
      <c r="V7" s="36"/>
      <c r="W7" s="1" t="s">
        <v>143</v>
      </c>
      <c r="X7" s="37"/>
      <c r="Z7" s="1" t="s">
        <v>143</v>
      </c>
      <c r="AE7" s="34" t="s">
        <v>143</v>
      </c>
      <c r="AF7" s="38">
        <f t="shared" si="0"/>
        <v>0</v>
      </c>
      <c r="AG7" s="6"/>
    </row>
    <row r="8" spans="1:33" x14ac:dyDescent="0.25">
      <c r="A8" s="10" t="s">
        <v>53</v>
      </c>
      <c r="B8" s="1" t="s">
        <v>143</v>
      </c>
      <c r="E8" s="1" t="s">
        <v>143</v>
      </c>
      <c r="H8" s="1" t="s">
        <v>143</v>
      </c>
      <c r="L8" s="1" t="s">
        <v>143</v>
      </c>
      <c r="M8" s="1"/>
      <c r="N8" s="1" t="s">
        <v>143</v>
      </c>
      <c r="P8" s="34"/>
      <c r="Q8" s="1" t="s">
        <v>143</v>
      </c>
      <c r="T8" s="1" t="s">
        <v>143</v>
      </c>
      <c r="V8" s="36"/>
      <c r="W8" s="1" t="s">
        <v>143</v>
      </c>
      <c r="X8" s="37"/>
      <c r="AA8" s="1" t="s">
        <v>143</v>
      </c>
      <c r="AC8" s="1" t="s">
        <v>143</v>
      </c>
      <c r="AE8" s="34"/>
      <c r="AF8" s="38">
        <f t="shared" si="0"/>
        <v>0</v>
      </c>
      <c r="AG8" s="6"/>
    </row>
    <row r="9" spans="1:33" x14ac:dyDescent="0.25">
      <c r="A9" s="10" t="s">
        <v>54</v>
      </c>
      <c r="B9" s="1" t="s">
        <v>143</v>
      </c>
      <c r="E9" s="1" t="s">
        <v>143</v>
      </c>
      <c r="H9" s="1" t="s">
        <v>143</v>
      </c>
      <c r="L9" s="1" t="s">
        <v>143</v>
      </c>
      <c r="M9" s="1"/>
      <c r="O9" s="1" t="s">
        <v>143</v>
      </c>
      <c r="P9" s="34"/>
      <c r="Q9" s="1" t="s">
        <v>143</v>
      </c>
      <c r="T9" s="1" t="s">
        <v>143</v>
      </c>
      <c r="V9" s="36"/>
      <c r="W9" s="1" t="s">
        <v>143</v>
      </c>
      <c r="X9" s="37"/>
      <c r="AA9" s="1" t="s">
        <v>143</v>
      </c>
      <c r="AD9" s="1" t="s">
        <v>143</v>
      </c>
      <c r="AE9" s="34"/>
      <c r="AF9" s="38">
        <f t="shared" si="0"/>
        <v>0</v>
      </c>
      <c r="AG9" s="6"/>
    </row>
    <row r="10" spans="1:33" x14ac:dyDescent="0.25">
      <c r="A10" s="10" t="s">
        <v>55</v>
      </c>
      <c r="B10" s="1" t="s">
        <v>143</v>
      </c>
      <c r="E10" s="1" t="s">
        <v>143</v>
      </c>
      <c r="H10" s="1" t="s">
        <v>143</v>
      </c>
      <c r="L10" s="1" t="s">
        <v>143</v>
      </c>
      <c r="M10" s="1"/>
      <c r="P10" s="34" t="s">
        <v>143</v>
      </c>
      <c r="Q10" s="1" t="s">
        <v>143</v>
      </c>
      <c r="T10" s="1" t="s">
        <v>143</v>
      </c>
      <c r="V10" s="36"/>
      <c r="W10" s="1" t="s">
        <v>143</v>
      </c>
      <c r="X10" s="37"/>
      <c r="AA10" s="1" t="s">
        <v>143</v>
      </c>
      <c r="AE10" s="34" t="s">
        <v>143</v>
      </c>
      <c r="AF10" s="38">
        <f t="shared" si="0"/>
        <v>0</v>
      </c>
      <c r="AG10" s="6"/>
    </row>
    <row r="11" spans="1:33" x14ac:dyDescent="0.25">
      <c r="A11" s="10" t="s">
        <v>56</v>
      </c>
      <c r="B11" s="1" t="s">
        <v>143</v>
      </c>
      <c r="E11" s="1" t="s">
        <v>143</v>
      </c>
      <c r="H11" s="1" t="s">
        <v>143</v>
      </c>
      <c r="M11" s="1" t="s">
        <v>143</v>
      </c>
      <c r="N11" s="1" t="s">
        <v>143</v>
      </c>
      <c r="P11" s="34"/>
      <c r="Q11" s="1" t="s">
        <v>143</v>
      </c>
      <c r="T11" s="1" t="s">
        <v>143</v>
      </c>
      <c r="V11" s="36"/>
      <c r="W11" s="1" t="s">
        <v>143</v>
      </c>
      <c r="X11" s="37"/>
      <c r="AB11" s="1" t="s">
        <v>143</v>
      </c>
      <c r="AC11" s="1" t="s">
        <v>143</v>
      </c>
      <c r="AE11" s="34"/>
      <c r="AF11" s="38">
        <f t="shared" si="0"/>
        <v>0</v>
      </c>
      <c r="AG11" s="6"/>
    </row>
    <row r="12" spans="1:33" x14ac:dyDescent="0.25">
      <c r="A12" s="10" t="s">
        <v>57</v>
      </c>
      <c r="B12" s="1" t="s">
        <v>143</v>
      </c>
      <c r="E12" s="1" t="s">
        <v>143</v>
      </c>
      <c r="H12" s="1" t="s">
        <v>143</v>
      </c>
      <c r="M12" s="1" t="s">
        <v>143</v>
      </c>
      <c r="O12" s="1" t="s">
        <v>143</v>
      </c>
      <c r="P12" s="34"/>
      <c r="Q12" s="1" t="s">
        <v>143</v>
      </c>
      <c r="T12" s="1" t="s">
        <v>143</v>
      </c>
      <c r="V12" s="36"/>
      <c r="W12" s="1" t="s">
        <v>143</v>
      </c>
      <c r="X12" s="37"/>
      <c r="AB12" s="1" t="s">
        <v>143</v>
      </c>
      <c r="AD12" s="1" t="s">
        <v>143</v>
      </c>
      <c r="AE12" s="34"/>
      <c r="AF12" s="38">
        <f t="shared" si="0"/>
        <v>0</v>
      </c>
      <c r="AG12" s="6"/>
    </row>
    <row r="13" spans="1:33" x14ac:dyDescent="0.25">
      <c r="A13" s="10" t="s">
        <v>58</v>
      </c>
      <c r="B13" s="1" t="s">
        <v>143</v>
      </c>
      <c r="E13" s="1" t="s">
        <v>143</v>
      </c>
      <c r="H13" s="1" t="s">
        <v>143</v>
      </c>
      <c r="M13" s="1" t="s">
        <v>143</v>
      </c>
      <c r="P13" s="34" t="s">
        <v>143</v>
      </c>
      <c r="Q13" s="1" t="s">
        <v>143</v>
      </c>
      <c r="T13" s="1" t="s">
        <v>143</v>
      </c>
      <c r="V13" s="36"/>
      <c r="W13" s="1" t="s">
        <v>143</v>
      </c>
      <c r="X13" s="37"/>
      <c r="AB13" s="1" t="s">
        <v>143</v>
      </c>
      <c r="AE13" s="34" t="s">
        <v>143</v>
      </c>
      <c r="AF13" s="38">
        <f t="shared" si="0"/>
        <v>0</v>
      </c>
      <c r="AG13" s="6"/>
    </row>
    <row r="14" spans="1:33" x14ac:dyDescent="0.25">
      <c r="A14" s="10" t="s">
        <v>59</v>
      </c>
      <c r="B14" s="1" t="s">
        <v>143</v>
      </c>
      <c r="E14" s="1" t="s">
        <v>143</v>
      </c>
      <c r="I14" s="1" t="s">
        <v>143</v>
      </c>
      <c r="K14" s="1" t="s">
        <v>143</v>
      </c>
      <c r="N14" s="1" t="s">
        <v>143</v>
      </c>
      <c r="Q14" s="1" t="s">
        <v>143</v>
      </c>
      <c r="T14" s="1" t="s">
        <v>143</v>
      </c>
      <c r="V14" s="36"/>
      <c r="X14" s="1" t="s">
        <v>143</v>
      </c>
      <c r="Z14" s="1" t="s">
        <v>143</v>
      </c>
      <c r="AB14" s="37"/>
      <c r="AC14" s="1" t="s">
        <v>143</v>
      </c>
      <c r="AE14" s="36"/>
      <c r="AF14" s="38">
        <f t="shared" si="0"/>
        <v>0</v>
      </c>
      <c r="AG14" s="6"/>
    </row>
    <row r="15" spans="1:33" x14ac:dyDescent="0.25">
      <c r="A15" s="10" t="s">
        <v>60</v>
      </c>
      <c r="B15" s="1" t="s">
        <v>143</v>
      </c>
      <c r="E15" s="1" t="s">
        <v>143</v>
      </c>
      <c r="I15" s="1" t="s">
        <v>143</v>
      </c>
      <c r="K15" s="1" t="s">
        <v>143</v>
      </c>
      <c r="M15" s="47"/>
      <c r="O15" s="1" t="s">
        <v>143</v>
      </c>
      <c r="P15" s="48"/>
      <c r="Q15" s="1" t="s">
        <v>143</v>
      </c>
      <c r="T15" s="1" t="s">
        <v>143</v>
      </c>
      <c r="V15" s="36"/>
      <c r="X15" s="1" t="s">
        <v>143</v>
      </c>
      <c r="Z15" s="1" t="s">
        <v>143</v>
      </c>
      <c r="AB15" s="47"/>
      <c r="AD15" s="1" t="s">
        <v>143</v>
      </c>
      <c r="AE15" s="48"/>
      <c r="AF15" s="38">
        <f t="shared" si="0"/>
        <v>0</v>
      </c>
      <c r="AG15" s="6"/>
    </row>
    <row r="16" spans="1:33" x14ac:dyDescent="0.25">
      <c r="A16" s="10" t="s">
        <v>61</v>
      </c>
      <c r="B16" s="1" t="s">
        <v>143</v>
      </c>
      <c r="E16" s="1" t="s">
        <v>143</v>
      </c>
      <c r="I16" s="1" t="s">
        <v>143</v>
      </c>
      <c r="K16" s="1" t="s">
        <v>143</v>
      </c>
      <c r="M16" s="1"/>
      <c r="P16" s="34" t="s">
        <v>143</v>
      </c>
      <c r="Q16" s="1" t="s">
        <v>143</v>
      </c>
      <c r="T16" s="1" t="s">
        <v>143</v>
      </c>
      <c r="V16" s="36"/>
      <c r="X16" s="1" t="s">
        <v>143</v>
      </c>
      <c r="Z16" s="1" t="s">
        <v>143</v>
      </c>
      <c r="AE16" s="34" t="s">
        <v>143</v>
      </c>
      <c r="AF16" s="38">
        <f t="shared" si="0"/>
        <v>0</v>
      </c>
      <c r="AG16" s="6"/>
    </row>
    <row r="17" spans="1:33" x14ac:dyDescent="0.25">
      <c r="A17" s="10" t="s">
        <v>62</v>
      </c>
      <c r="B17" s="1" t="s">
        <v>143</v>
      </c>
      <c r="E17" s="1" t="s">
        <v>143</v>
      </c>
      <c r="I17" s="1" t="s">
        <v>143</v>
      </c>
      <c r="L17" s="1" t="s">
        <v>143</v>
      </c>
      <c r="M17" s="1"/>
      <c r="N17" s="1" t="s">
        <v>143</v>
      </c>
      <c r="P17" s="34"/>
      <c r="Q17" s="1" t="s">
        <v>143</v>
      </c>
      <c r="T17" s="1" t="s">
        <v>143</v>
      </c>
      <c r="V17" s="36"/>
      <c r="X17" s="1" t="s">
        <v>143</v>
      </c>
      <c r="AA17" s="1" t="s">
        <v>143</v>
      </c>
      <c r="AC17" s="1" t="s">
        <v>143</v>
      </c>
      <c r="AE17" s="34"/>
      <c r="AF17" s="38">
        <f t="shared" si="0"/>
        <v>0</v>
      </c>
      <c r="AG17" s="6"/>
    </row>
    <row r="18" spans="1:33" x14ac:dyDescent="0.25">
      <c r="A18" s="10" t="s">
        <v>63</v>
      </c>
      <c r="B18" s="1" t="s">
        <v>143</v>
      </c>
      <c r="E18" s="1" t="s">
        <v>143</v>
      </c>
      <c r="I18" s="1" t="s">
        <v>143</v>
      </c>
      <c r="L18" s="1" t="s">
        <v>143</v>
      </c>
      <c r="M18" s="1"/>
      <c r="O18" s="1" t="s">
        <v>143</v>
      </c>
      <c r="P18" s="34"/>
      <c r="Q18" s="1" t="s">
        <v>143</v>
      </c>
      <c r="T18" s="1" t="s">
        <v>143</v>
      </c>
      <c r="V18" s="36"/>
      <c r="X18" s="1" t="s">
        <v>143</v>
      </c>
      <c r="AA18" s="1" t="s">
        <v>143</v>
      </c>
      <c r="AD18" s="1" t="s">
        <v>143</v>
      </c>
      <c r="AE18" s="34"/>
      <c r="AF18" s="38">
        <f t="shared" si="0"/>
        <v>0</v>
      </c>
      <c r="AG18" s="6"/>
    </row>
    <row r="19" spans="1:33" x14ac:dyDescent="0.25">
      <c r="A19" s="10" t="s">
        <v>64</v>
      </c>
      <c r="B19" s="1" t="s">
        <v>143</v>
      </c>
      <c r="E19" s="1" t="s">
        <v>143</v>
      </c>
      <c r="I19" s="1" t="s">
        <v>143</v>
      </c>
      <c r="L19" s="1" t="s">
        <v>143</v>
      </c>
      <c r="M19" s="1"/>
      <c r="P19" s="34" t="s">
        <v>143</v>
      </c>
      <c r="Q19" s="1" t="s">
        <v>143</v>
      </c>
      <c r="T19" s="1" t="s">
        <v>143</v>
      </c>
      <c r="V19" s="36"/>
      <c r="X19" s="1" t="s">
        <v>143</v>
      </c>
      <c r="AA19" s="1" t="s">
        <v>143</v>
      </c>
      <c r="AE19" s="34" t="s">
        <v>143</v>
      </c>
      <c r="AF19" s="38">
        <f t="shared" si="0"/>
        <v>0</v>
      </c>
      <c r="AG19" s="6"/>
    </row>
    <row r="20" spans="1:33" x14ac:dyDescent="0.25">
      <c r="A20" s="10" t="s">
        <v>65</v>
      </c>
      <c r="B20" s="1" t="s">
        <v>143</v>
      </c>
      <c r="E20" s="1" t="s">
        <v>143</v>
      </c>
      <c r="I20" s="1" t="s">
        <v>143</v>
      </c>
      <c r="M20" s="1" t="s">
        <v>143</v>
      </c>
      <c r="N20" s="1" t="s">
        <v>143</v>
      </c>
      <c r="P20" s="34"/>
      <c r="Q20" s="1" t="s">
        <v>143</v>
      </c>
      <c r="T20" s="1" t="s">
        <v>143</v>
      </c>
      <c r="V20" s="36"/>
      <c r="X20" s="1" t="s">
        <v>143</v>
      </c>
      <c r="AB20" s="1" t="s">
        <v>143</v>
      </c>
      <c r="AC20" s="1" t="s">
        <v>143</v>
      </c>
      <c r="AE20" s="34"/>
      <c r="AF20" s="38">
        <f t="shared" si="0"/>
        <v>0</v>
      </c>
      <c r="AG20" s="6"/>
    </row>
    <row r="21" spans="1:33" x14ac:dyDescent="0.25">
      <c r="A21" s="10" t="s">
        <v>66</v>
      </c>
      <c r="B21" s="1" t="s">
        <v>143</v>
      </c>
      <c r="E21" s="1" t="s">
        <v>143</v>
      </c>
      <c r="I21" s="1" t="s">
        <v>143</v>
      </c>
      <c r="M21" s="1" t="s">
        <v>143</v>
      </c>
      <c r="O21" s="1" t="s">
        <v>143</v>
      </c>
      <c r="P21" s="34"/>
      <c r="Q21" s="1" t="s">
        <v>143</v>
      </c>
      <c r="T21" s="1" t="s">
        <v>143</v>
      </c>
      <c r="V21" s="36"/>
      <c r="X21" s="1" t="s">
        <v>143</v>
      </c>
      <c r="AB21" s="1" t="s">
        <v>143</v>
      </c>
      <c r="AD21" s="1" t="s">
        <v>143</v>
      </c>
      <c r="AE21" s="34"/>
      <c r="AF21" s="38">
        <f t="shared" si="0"/>
        <v>0</v>
      </c>
      <c r="AG21" s="6"/>
    </row>
    <row r="22" spans="1:33" x14ac:dyDescent="0.25">
      <c r="A22" s="10" t="s">
        <v>67</v>
      </c>
      <c r="B22" s="1" t="s">
        <v>143</v>
      </c>
      <c r="E22" s="1" t="s">
        <v>143</v>
      </c>
      <c r="I22" s="1" t="s">
        <v>143</v>
      </c>
      <c r="M22" s="1" t="s">
        <v>143</v>
      </c>
      <c r="P22" s="34" t="s">
        <v>143</v>
      </c>
      <c r="Q22" s="1" t="s">
        <v>143</v>
      </c>
      <c r="T22" s="1" t="s">
        <v>143</v>
      </c>
      <c r="V22" s="36"/>
      <c r="X22" s="1" t="s">
        <v>143</v>
      </c>
      <c r="AB22" s="1" t="s">
        <v>143</v>
      </c>
      <c r="AE22" s="34" t="s">
        <v>143</v>
      </c>
      <c r="AF22" s="38">
        <f t="shared" si="0"/>
        <v>0</v>
      </c>
      <c r="AG22" s="6"/>
    </row>
    <row r="23" spans="1:33" x14ac:dyDescent="0.25">
      <c r="A23" s="10" t="s">
        <v>68</v>
      </c>
      <c r="B23" s="1" t="s">
        <v>143</v>
      </c>
      <c r="E23" s="1" t="s">
        <v>143</v>
      </c>
      <c r="J23" s="1" t="s">
        <v>143</v>
      </c>
      <c r="K23" s="1" t="s">
        <v>143</v>
      </c>
      <c r="N23" s="1" t="s">
        <v>143</v>
      </c>
      <c r="Q23" s="1" t="s">
        <v>143</v>
      </c>
      <c r="T23" s="1" t="s">
        <v>143</v>
      </c>
      <c r="V23" s="36"/>
      <c r="X23" s="37"/>
      <c r="Y23" s="1" t="s">
        <v>143</v>
      </c>
      <c r="Z23" s="1" t="s">
        <v>143</v>
      </c>
      <c r="AB23" s="37"/>
      <c r="AC23" s="1" t="s">
        <v>143</v>
      </c>
      <c r="AE23" s="36"/>
      <c r="AF23" s="38">
        <f t="shared" si="0"/>
        <v>0</v>
      </c>
      <c r="AG23" s="6"/>
    </row>
    <row r="24" spans="1:33" x14ac:dyDescent="0.25">
      <c r="A24" s="10" t="s">
        <v>69</v>
      </c>
      <c r="B24" s="1" t="s">
        <v>143</v>
      </c>
      <c r="E24" s="1" t="s">
        <v>143</v>
      </c>
      <c r="J24" s="1" t="s">
        <v>143</v>
      </c>
      <c r="K24" s="1" t="s">
        <v>143</v>
      </c>
      <c r="M24" s="47"/>
      <c r="O24" s="1" t="s">
        <v>143</v>
      </c>
      <c r="P24" s="48"/>
      <c r="Q24" s="1" t="s">
        <v>143</v>
      </c>
      <c r="T24" s="1" t="s">
        <v>143</v>
      </c>
      <c r="V24" s="36"/>
      <c r="X24" s="37"/>
      <c r="Y24" s="1" t="s">
        <v>143</v>
      </c>
      <c r="Z24" s="1" t="s">
        <v>143</v>
      </c>
      <c r="AB24" s="47"/>
      <c r="AD24" s="1" t="s">
        <v>143</v>
      </c>
      <c r="AE24" s="48"/>
      <c r="AF24" s="38">
        <f t="shared" si="0"/>
        <v>0</v>
      </c>
      <c r="AG24" s="6"/>
    </row>
    <row r="25" spans="1:33" x14ac:dyDescent="0.25">
      <c r="A25" s="10" t="s">
        <v>71</v>
      </c>
      <c r="B25" s="1" t="s">
        <v>143</v>
      </c>
      <c r="E25" s="1" t="s">
        <v>143</v>
      </c>
      <c r="J25" s="1" t="s">
        <v>143</v>
      </c>
      <c r="K25" s="1" t="s">
        <v>143</v>
      </c>
      <c r="M25" s="1"/>
      <c r="P25" s="34" t="s">
        <v>143</v>
      </c>
      <c r="Q25" s="1" t="s">
        <v>143</v>
      </c>
      <c r="T25" s="1" t="s">
        <v>143</v>
      </c>
      <c r="V25" s="36"/>
      <c r="X25" s="37"/>
      <c r="Y25" s="1" t="s">
        <v>143</v>
      </c>
      <c r="Z25" s="1" t="s">
        <v>143</v>
      </c>
      <c r="AE25" s="34" t="s">
        <v>143</v>
      </c>
      <c r="AF25" s="38">
        <f t="shared" si="0"/>
        <v>0</v>
      </c>
      <c r="AG25" s="6"/>
    </row>
    <row r="26" spans="1:33" x14ac:dyDescent="0.25">
      <c r="A26" s="10" t="s">
        <v>72</v>
      </c>
      <c r="B26" s="1" t="s">
        <v>143</v>
      </c>
      <c r="E26" s="1" t="s">
        <v>143</v>
      </c>
      <c r="J26" s="1" t="s">
        <v>143</v>
      </c>
      <c r="L26" s="1" t="s">
        <v>143</v>
      </c>
      <c r="M26" s="1"/>
      <c r="N26" s="1" t="s">
        <v>143</v>
      </c>
      <c r="P26" s="34"/>
      <c r="Q26" s="1" t="s">
        <v>143</v>
      </c>
      <c r="T26" s="1" t="s">
        <v>143</v>
      </c>
      <c r="V26" s="36"/>
      <c r="X26" s="37"/>
      <c r="Y26" s="1" t="s">
        <v>143</v>
      </c>
      <c r="AA26" s="1" t="s">
        <v>143</v>
      </c>
      <c r="AC26" s="1" t="s">
        <v>143</v>
      </c>
      <c r="AE26" s="34"/>
      <c r="AF26" s="38">
        <f t="shared" si="0"/>
        <v>0</v>
      </c>
      <c r="AG26" s="6"/>
    </row>
    <row r="27" spans="1:33" x14ac:dyDescent="0.25">
      <c r="A27" s="10" t="s">
        <v>73</v>
      </c>
      <c r="B27" s="1" t="s">
        <v>143</v>
      </c>
      <c r="E27" s="1" t="s">
        <v>143</v>
      </c>
      <c r="J27" s="1" t="s">
        <v>143</v>
      </c>
      <c r="L27" s="1" t="s">
        <v>143</v>
      </c>
      <c r="M27" s="1"/>
      <c r="O27" s="1" t="s">
        <v>143</v>
      </c>
      <c r="P27" s="34"/>
      <c r="Q27" s="1" t="s">
        <v>143</v>
      </c>
      <c r="T27" s="1" t="s">
        <v>143</v>
      </c>
      <c r="V27" s="36"/>
      <c r="X27" s="37"/>
      <c r="Y27" s="1" t="s">
        <v>143</v>
      </c>
      <c r="AA27" s="1" t="s">
        <v>143</v>
      </c>
      <c r="AD27" s="1" t="s">
        <v>143</v>
      </c>
      <c r="AE27" s="34"/>
      <c r="AF27" s="38">
        <f t="shared" si="0"/>
        <v>0</v>
      </c>
      <c r="AG27" s="6"/>
    </row>
    <row r="28" spans="1:33" x14ac:dyDescent="0.25">
      <c r="A28" s="10" t="s">
        <v>74</v>
      </c>
      <c r="B28" s="1" t="s">
        <v>143</v>
      </c>
      <c r="E28" s="1" t="s">
        <v>143</v>
      </c>
      <c r="J28" s="1" t="s">
        <v>143</v>
      </c>
      <c r="L28" s="1" t="s">
        <v>143</v>
      </c>
      <c r="M28" s="1"/>
      <c r="P28" s="34" t="s">
        <v>143</v>
      </c>
      <c r="Q28" s="1" t="s">
        <v>143</v>
      </c>
      <c r="T28" s="1" t="s">
        <v>143</v>
      </c>
      <c r="V28" s="36"/>
      <c r="X28" s="37"/>
      <c r="Y28" s="1" t="s">
        <v>143</v>
      </c>
      <c r="AA28" s="1" t="s">
        <v>143</v>
      </c>
      <c r="AE28" s="34" t="s">
        <v>143</v>
      </c>
      <c r="AF28" s="38">
        <f t="shared" si="0"/>
        <v>0</v>
      </c>
      <c r="AG28" s="6"/>
    </row>
    <row r="29" spans="1:33" x14ac:dyDescent="0.25">
      <c r="A29" s="10" t="s">
        <v>75</v>
      </c>
      <c r="B29" s="1" t="s">
        <v>143</v>
      </c>
      <c r="E29" s="1" t="s">
        <v>143</v>
      </c>
      <c r="J29" s="1" t="s">
        <v>143</v>
      </c>
      <c r="M29" s="1" t="s">
        <v>143</v>
      </c>
      <c r="N29" s="1" t="s">
        <v>143</v>
      </c>
      <c r="P29" s="34"/>
      <c r="Q29" s="1" t="s">
        <v>143</v>
      </c>
      <c r="T29" s="1" t="s">
        <v>143</v>
      </c>
      <c r="V29" s="36"/>
      <c r="X29" s="37"/>
      <c r="Y29" s="1" t="s">
        <v>143</v>
      </c>
      <c r="AB29" s="1" t="s">
        <v>143</v>
      </c>
      <c r="AC29" s="1" t="s">
        <v>143</v>
      </c>
      <c r="AE29" s="34"/>
      <c r="AF29" s="38">
        <f t="shared" si="0"/>
        <v>0</v>
      </c>
      <c r="AG29" s="6"/>
    </row>
    <row r="30" spans="1:33" x14ac:dyDescent="0.25">
      <c r="A30" s="10" t="s">
        <v>76</v>
      </c>
      <c r="B30" s="1" t="s">
        <v>143</v>
      </c>
      <c r="E30" s="1" t="s">
        <v>143</v>
      </c>
      <c r="J30" s="1" t="s">
        <v>143</v>
      </c>
      <c r="M30" s="1" t="s">
        <v>143</v>
      </c>
      <c r="O30" s="1" t="s">
        <v>143</v>
      </c>
      <c r="P30" s="34"/>
      <c r="Q30" s="1" t="s">
        <v>143</v>
      </c>
      <c r="T30" s="1" t="s">
        <v>143</v>
      </c>
      <c r="V30" s="36"/>
      <c r="X30" s="37"/>
      <c r="Y30" s="1" t="s">
        <v>143</v>
      </c>
      <c r="AB30" s="1" t="s">
        <v>143</v>
      </c>
      <c r="AD30" s="1" t="s">
        <v>143</v>
      </c>
      <c r="AE30" s="34"/>
      <c r="AF30" s="38">
        <f t="shared" si="0"/>
        <v>0</v>
      </c>
      <c r="AG30" s="6"/>
    </row>
    <row r="31" spans="1:33" x14ac:dyDescent="0.25">
      <c r="A31" s="10" t="s">
        <v>77</v>
      </c>
      <c r="B31" s="1" t="s">
        <v>143</v>
      </c>
      <c r="E31" s="1" t="s">
        <v>143</v>
      </c>
      <c r="J31" s="1" t="s">
        <v>143</v>
      </c>
      <c r="M31" s="1" t="s">
        <v>143</v>
      </c>
      <c r="P31" s="34" t="s">
        <v>143</v>
      </c>
      <c r="Q31" s="1" t="s">
        <v>143</v>
      </c>
      <c r="T31" s="1" t="s">
        <v>143</v>
      </c>
      <c r="V31" s="36"/>
      <c r="X31" s="37"/>
      <c r="Y31" s="1" t="s">
        <v>143</v>
      </c>
      <c r="AB31" s="1" t="s">
        <v>143</v>
      </c>
      <c r="AE31" s="34" t="s">
        <v>143</v>
      </c>
      <c r="AF31" s="38">
        <f t="shared" si="0"/>
        <v>0</v>
      </c>
      <c r="AG31" s="6"/>
    </row>
    <row r="32" spans="1:33" x14ac:dyDescent="0.25">
      <c r="A32" s="10" t="s">
        <v>78</v>
      </c>
      <c r="B32" s="1" t="s">
        <v>143</v>
      </c>
      <c r="F32" s="1" t="s">
        <v>143</v>
      </c>
      <c r="H32" s="1" t="s">
        <v>143</v>
      </c>
      <c r="K32" s="1" t="s">
        <v>143</v>
      </c>
      <c r="N32" s="1" t="s">
        <v>143</v>
      </c>
      <c r="Q32" s="1" t="s">
        <v>143</v>
      </c>
      <c r="U32" s="1" t="s">
        <v>143</v>
      </c>
      <c r="V32" s="36"/>
      <c r="W32" s="1" t="s">
        <v>143</v>
      </c>
      <c r="X32" s="37"/>
      <c r="Z32" s="1" t="s">
        <v>143</v>
      </c>
      <c r="AB32" s="37"/>
      <c r="AC32" s="1" t="s">
        <v>143</v>
      </c>
      <c r="AE32" s="36"/>
      <c r="AF32" s="38">
        <f t="shared" si="0"/>
        <v>0</v>
      </c>
      <c r="AG32" s="6"/>
    </row>
    <row r="33" spans="1:33" x14ac:dyDescent="0.25">
      <c r="A33" s="10" t="s">
        <v>79</v>
      </c>
      <c r="B33" s="1" t="s">
        <v>143</v>
      </c>
      <c r="F33" s="1" t="s">
        <v>143</v>
      </c>
      <c r="H33" s="1" t="s">
        <v>143</v>
      </c>
      <c r="K33" s="1" t="s">
        <v>143</v>
      </c>
      <c r="M33" s="47"/>
      <c r="O33" s="1" t="s">
        <v>143</v>
      </c>
      <c r="P33" s="48"/>
      <c r="Q33" s="1" t="s">
        <v>143</v>
      </c>
      <c r="U33" s="1" t="s">
        <v>143</v>
      </c>
      <c r="V33" s="36"/>
      <c r="W33" s="1" t="s">
        <v>143</v>
      </c>
      <c r="X33" s="37"/>
      <c r="Z33" s="1" t="s">
        <v>143</v>
      </c>
      <c r="AB33" s="47"/>
      <c r="AD33" s="1" t="s">
        <v>143</v>
      </c>
      <c r="AE33" s="48"/>
      <c r="AF33" s="38">
        <f t="shared" si="0"/>
        <v>0</v>
      </c>
      <c r="AG33" s="6"/>
    </row>
    <row r="34" spans="1:33" x14ac:dyDescent="0.25">
      <c r="A34" s="10" t="s">
        <v>80</v>
      </c>
      <c r="B34" s="1" t="s">
        <v>143</v>
      </c>
      <c r="F34" s="1" t="s">
        <v>143</v>
      </c>
      <c r="H34" s="1" t="s">
        <v>143</v>
      </c>
      <c r="K34" s="1" t="s">
        <v>143</v>
      </c>
      <c r="M34" s="1"/>
      <c r="P34" s="34" t="s">
        <v>143</v>
      </c>
      <c r="Q34" s="1" t="s">
        <v>143</v>
      </c>
      <c r="U34" s="1" t="s">
        <v>143</v>
      </c>
      <c r="V34" s="36"/>
      <c r="W34" s="1" t="s">
        <v>143</v>
      </c>
      <c r="X34" s="37"/>
      <c r="Z34" s="1" t="s">
        <v>143</v>
      </c>
      <c r="AE34" s="34" t="s">
        <v>143</v>
      </c>
      <c r="AF34" s="38">
        <f t="shared" si="0"/>
        <v>0</v>
      </c>
      <c r="AG34" s="6"/>
    </row>
    <row r="35" spans="1:33" x14ac:dyDescent="0.25">
      <c r="A35" s="10" t="s">
        <v>81</v>
      </c>
      <c r="B35" s="1" t="s">
        <v>143</v>
      </c>
      <c r="F35" s="1" t="s">
        <v>143</v>
      </c>
      <c r="H35" s="1" t="s">
        <v>143</v>
      </c>
      <c r="L35" s="1" t="s">
        <v>143</v>
      </c>
      <c r="M35" s="1"/>
      <c r="N35" s="1" t="s">
        <v>143</v>
      </c>
      <c r="P35" s="34"/>
      <c r="Q35" s="1" t="s">
        <v>143</v>
      </c>
      <c r="U35" s="1" t="s">
        <v>143</v>
      </c>
      <c r="V35" s="36"/>
      <c r="W35" s="1" t="s">
        <v>143</v>
      </c>
      <c r="X35" s="37"/>
      <c r="AA35" s="1" t="s">
        <v>143</v>
      </c>
      <c r="AC35" s="1" t="s">
        <v>143</v>
      </c>
      <c r="AE35" s="34"/>
      <c r="AF35" s="38">
        <f t="shared" si="0"/>
        <v>0</v>
      </c>
      <c r="AG35" s="6"/>
    </row>
    <row r="36" spans="1:33" x14ac:dyDescent="0.25">
      <c r="A36" s="10" t="s">
        <v>82</v>
      </c>
      <c r="B36" s="1" t="s">
        <v>143</v>
      </c>
      <c r="F36" s="1" t="s">
        <v>143</v>
      </c>
      <c r="H36" s="1" t="s">
        <v>143</v>
      </c>
      <c r="L36" s="1" t="s">
        <v>143</v>
      </c>
      <c r="M36" s="1"/>
      <c r="O36" s="1" t="s">
        <v>143</v>
      </c>
      <c r="P36" s="34"/>
      <c r="Q36" s="1" t="s">
        <v>143</v>
      </c>
      <c r="U36" s="1" t="s">
        <v>143</v>
      </c>
      <c r="V36" s="36"/>
      <c r="W36" s="1" t="s">
        <v>143</v>
      </c>
      <c r="X36" s="37"/>
      <c r="AA36" s="1" t="s">
        <v>143</v>
      </c>
      <c r="AD36" s="1" t="s">
        <v>143</v>
      </c>
      <c r="AE36" s="34"/>
      <c r="AF36" s="38">
        <f t="shared" si="0"/>
        <v>0</v>
      </c>
      <c r="AG36" s="6"/>
    </row>
    <row r="37" spans="1:33" x14ac:dyDescent="0.25">
      <c r="A37" s="10" t="s">
        <v>83</v>
      </c>
      <c r="B37" s="1" t="s">
        <v>143</v>
      </c>
      <c r="F37" s="1" t="s">
        <v>143</v>
      </c>
      <c r="H37" s="1" t="s">
        <v>143</v>
      </c>
      <c r="L37" s="1" t="s">
        <v>143</v>
      </c>
      <c r="M37" s="1"/>
      <c r="P37" s="34" t="s">
        <v>143</v>
      </c>
      <c r="Q37" s="1" t="s">
        <v>143</v>
      </c>
      <c r="U37" s="1" t="s">
        <v>143</v>
      </c>
      <c r="V37" s="36"/>
      <c r="W37" s="1" t="s">
        <v>143</v>
      </c>
      <c r="X37" s="37"/>
      <c r="AA37" s="1" t="s">
        <v>143</v>
      </c>
      <c r="AE37" s="34" t="s">
        <v>143</v>
      </c>
      <c r="AF37" s="38">
        <f t="shared" si="0"/>
        <v>0</v>
      </c>
      <c r="AG37" s="6"/>
    </row>
    <row r="38" spans="1:33" x14ac:dyDescent="0.25">
      <c r="A38" s="10" t="s">
        <v>84</v>
      </c>
      <c r="B38" s="1" t="s">
        <v>143</v>
      </c>
      <c r="F38" s="1" t="s">
        <v>143</v>
      </c>
      <c r="H38" s="1" t="s">
        <v>143</v>
      </c>
      <c r="M38" s="1" t="s">
        <v>143</v>
      </c>
      <c r="N38" s="1" t="s">
        <v>143</v>
      </c>
      <c r="P38" s="34"/>
      <c r="Q38" s="1" t="s">
        <v>143</v>
      </c>
      <c r="U38" s="1" t="s">
        <v>143</v>
      </c>
      <c r="V38" s="36"/>
      <c r="W38" s="1" t="s">
        <v>143</v>
      </c>
      <c r="X38" s="37"/>
      <c r="AB38" s="1" t="s">
        <v>143</v>
      </c>
      <c r="AC38" s="1" t="s">
        <v>143</v>
      </c>
      <c r="AE38" s="34"/>
      <c r="AF38" s="38">
        <f t="shared" si="0"/>
        <v>0</v>
      </c>
      <c r="AG38" s="6"/>
    </row>
    <row r="39" spans="1:33" x14ac:dyDescent="0.25">
      <c r="A39" s="10" t="s">
        <v>85</v>
      </c>
      <c r="B39" s="1" t="s">
        <v>143</v>
      </c>
      <c r="F39" s="1" t="s">
        <v>143</v>
      </c>
      <c r="H39" s="1" t="s">
        <v>143</v>
      </c>
      <c r="M39" s="1" t="s">
        <v>143</v>
      </c>
      <c r="O39" s="1" t="s">
        <v>143</v>
      </c>
      <c r="P39" s="34"/>
      <c r="Q39" s="1" t="s">
        <v>143</v>
      </c>
      <c r="U39" s="1" t="s">
        <v>143</v>
      </c>
      <c r="V39" s="36"/>
      <c r="W39" s="1" t="s">
        <v>143</v>
      </c>
      <c r="X39" s="37"/>
      <c r="AB39" s="1" t="s">
        <v>143</v>
      </c>
      <c r="AD39" s="1" t="s">
        <v>143</v>
      </c>
      <c r="AE39" s="34"/>
      <c r="AF39" s="38">
        <f t="shared" si="0"/>
        <v>0</v>
      </c>
      <c r="AG39" s="6"/>
    </row>
    <row r="40" spans="1:33" x14ac:dyDescent="0.25">
      <c r="A40" s="10" t="s">
        <v>86</v>
      </c>
      <c r="B40" s="1" t="s">
        <v>143</v>
      </c>
      <c r="F40" s="1" t="s">
        <v>143</v>
      </c>
      <c r="H40" s="1" t="s">
        <v>143</v>
      </c>
      <c r="M40" s="1" t="s">
        <v>143</v>
      </c>
      <c r="P40" s="34" t="s">
        <v>143</v>
      </c>
      <c r="Q40" s="1" t="s">
        <v>143</v>
      </c>
      <c r="U40" s="1" t="s">
        <v>143</v>
      </c>
      <c r="V40" s="36"/>
      <c r="W40" s="1" t="s">
        <v>143</v>
      </c>
      <c r="X40" s="37"/>
      <c r="AB40" s="1" t="s">
        <v>143</v>
      </c>
      <c r="AE40" s="34" t="s">
        <v>143</v>
      </c>
      <c r="AF40" s="38">
        <f t="shared" si="0"/>
        <v>0</v>
      </c>
      <c r="AG40" s="6"/>
    </row>
    <row r="41" spans="1:33" x14ac:dyDescent="0.25">
      <c r="A41" s="10" t="s">
        <v>87</v>
      </c>
      <c r="B41" s="1" t="s">
        <v>143</v>
      </c>
      <c r="F41" s="1" t="s">
        <v>143</v>
      </c>
      <c r="I41" s="1" t="s">
        <v>143</v>
      </c>
      <c r="K41" s="1" t="s">
        <v>143</v>
      </c>
      <c r="N41" s="1" t="s">
        <v>143</v>
      </c>
      <c r="Q41" s="1" t="s">
        <v>143</v>
      </c>
      <c r="U41" s="1" t="s">
        <v>143</v>
      </c>
      <c r="V41" s="36"/>
      <c r="X41" s="1" t="s">
        <v>143</v>
      </c>
      <c r="Z41" s="1" t="s">
        <v>143</v>
      </c>
      <c r="AB41" s="37"/>
      <c r="AC41" s="1" t="s">
        <v>143</v>
      </c>
      <c r="AE41" s="36"/>
      <c r="AF41" s="38">
        <f t="shared" si="0"/>
        <v>0</v>
      </c>
      <c r="AG41" s="6"/>
    </row>
    <row r="42" spans="1:33" x14ac:dyDescent="0.25">
      <c r="A42" s="10" t="s">
        <v>88</v>
      </c>
      <c r="B42" s="1" t="s">
        <v>143</v>
      </c>
      <c r="F42" s="1" t="s">
        <v>143</v>
      </c>
      <c r="I42" s="1" t="s">
        <v>143</v>
      </c>
      <c r="K42" s="1" t="s">
        <v>143</v>
      </c>
      <c r="M42" s="47"/>
      <c r="O42" s="1" t="s">
        <v>143</v>
      </c>
      <c r="P42" s="48"/>
      <c r="Q42" s="1" t="s">
        <v>143</v>
      </c>
      <c r="U42" s="1" t="s">
        <v>143</v>
      </c>
      <c r="V42" s="36"/>
      <c r="X42" s="1" t="s">
        <v>143</v>
      </c>
      <c r="Z42" s="1" t="s">
        <v>143</v>
      </c>
      <c r="AB42" s="47"/>
      <c r="AD42" s="1" t="s">
        <v>143</v>
      </c>
      <c r="AE42" s="48"/>
      <c r="AF42" s="38">
        <f t="shared" si="0"/>
        <v>0</v>
      </c>
      <c r="AG42" s="6"/>
    </row>
    <row r="43" spans="1:33" x14ac:dyDescent="0.25">
      <c r="A43" s="10" t="s">
        <v>89</v>
      </c>
      <c r="B43" s="1" t="s">
        <v>143</v>
      </c>
      <c r="F43" s="1" t="s">
        <v>143</v>
      </c>
      <c r="I43" s="1" t="s">
        <v>143</v>
      </c>
      <c r="K43" s="1" t="s">
        <v>143</v>
      </c>
      <c r="M43" s="1"/>
      <c r="P43" s="34" t="s">
        <v>143</v>
      </c>
      <c r="Q43" s="1" t="s">
        <v>143</v>
      </c>
      <c r="U43" s="1" t="s">
        <v>143</v>
      </c>
      <c r="V43" s="36"/>
      <c r="X43" s="1" t="s">
        <v>143</v>
      </c>
      <c r="Z43" s="1" t="s">
        <v>143</v>
      </c>
      <c r="AE43" s="34" t="s">
        <v>143</v>
      </c>
      <c r="AF43" s="38">
        <f t="shared" si="0"/>
        <v>0</v>
      </c>
      <c r="AG43" s="6"/>
    </row>
    <row r="44" spans="1:33" x14ac:dyDescent="0.25">
      <c r="A44" s="10" t="s">
        <v>90</v>
      </c>
      <c r="B44" s="1" t="s">
        <v>143</v>
      </c>
      <c r="F44" s="1" t="s">
        <v>143</v>
      </c>
      <c r="I44" s="1" t="s">
        <v>143</v>
      </c>
      <c r="L44" s="1" t="s">
        <v>143</v>
      </c>
      <c r="M44" s="1"/>
      <c r="N44" s="1" t="s">
        <v>143</v>
      </c>
      <c r="P44" s="34"/>
      <c r="Q44" s="1" t="s">
        <v>143</v>
      </c>
      <c r="U44" s="1" t="s">
        <v>143</v>
      </c>
      <c r="V44" s="36"/>
      <c r="X44" s="1" t="s">
        <v>143</v>
      </c>
      <c r="AA44" s="1" t="s">
        <v>143</v>
      </c>
      <c r="AC44" s="1" t="s">
        <v>143</v>
      </c>
      <c r="AE44" s="34"/>
      <c r="AF44" s="38">
        <f t="shared" si="0"/>
        <v>0</v>
      </c>
      <c r="AG44" s="6"/>
    </row>
    <row r="45" spans="1:33" x14ac:dyDescent="0.25">
      <c r="A45" s="10" t="s">
        <v>91</v>
      </c>
      <c r="B45" s="1" t="s">
        <v>143</v>
      </c>
      <c r="F45" s="1" t="s">
        <v>143</v>
      </c>
      <c r="I45" s="1" t="s">
        <v>143</v>
      </c>
      <c r="L45" s="1" t="s">
        <v>143</v>
      </c>
      <c r="M45" s="1"/>
      <c r="O45" s="1" t="s">
        <v>143</v>
      </c>
      <c r="P45" s="34"/>
      <c r="Q45" s="1" t="s">
        <v>143</v>
      </c>
      <c r="U45" s="1" t="s">
        <v>143</v>
      </c>
      <c r="V45" s="36"/>
      <c r="X45" s="1" t="s">
        <v>143</v>
      </c>
      <c r="AA45" s="1" t="s">
        <v>143</v>
      </c>
      <c r="AD45" s="1" t="s">
        <v>143</v>
      </c>
      <c r="AE45" s="34"/>
      <c r="AF45" s="38">
        <f t="shared" si="0"/>
        <v>0</v>
      </c>
      <c r="AG45" s="6"/>
    </row>
    <row r="46" spans="1:33" x14ac:dyDescent="0.25">
      <c r="A46" s="10" t="s">
        <v>92</v>
      </c>
      <c r="B46" s="1" t="s">
        <v>143</v>
      </c>
      <c r="F46" s="1" t="s">
        <v>143</v>
      </c>
      <c r="I46" s="1" t="s">
        <v>143</v>
      </c>
      <c r="L46" s="1" t="s">
        <v>143</v>
      </c>
      <c r="M46" s="1"/>
      <c r="P46" s="34" t="s">
        <v>143</v>
      </c>
      <c r="Q46" s="1" t="s">
        <v>143</v>
      </c>
      <c r="U46" s="1" t="s">
        <v>143</v>
      </c>
      <c r="V46" s="36"/>
      <c r="X46" s="1" t="s">
        <v>143</v>
      </c>
      <c r="AA46" s="1" t="s">
        <v>143</v>
      </c>
      <c r="AE46" s="34" t="s">
        <v>143</v>
      </c>
      <c r="AF46" s="38">
        <f t="shared" si="0"/>
        <v>0</v>
      </c>
      <c r="AG46" s="6"/>
    </row>
    <row r="47" spans="1:33" x14ac:dyDescent="0.25">
      <c r="A47" s="10" t="s">
        <v>93</v>
      </c>
      <c r="B47" s="1" t="s">
        <v>143</v>
      </c>
      <c r="F47" s="1" t="s">
        <v>143</v>
      </c>
      <c r="I47" s="1" t="s">
        <v>143</v>
      </c>
      <c r="M47" s="1" t="s">
        <v>143</v>
      </c>
      <c r="N47" s="1" t="s">
        <v>143</v>
      </c>
      <c r="P47" s="34"/>
      <c r="Q47" s="1" t="s">
        <v>143</v>
      </c>
      <c r="U47" s="1" t="s">
        <v>143</v>
      </c>
      <c r="V47" s="36"/>
      <c r="X47" s="1" t="s">
        <v>143</v>
      </c>
      <c r="AB47" s="1" t="s">
        <v>143</v>
      </c>
      <c r="AC47" s="1" t="s">
        <v>143</v>
      </c>
      <c r="AE47" s="34"/>
      <c r="AF47" s="38">
        <f t="shared" si="0"/>
        <v>0</v>
      </c>
      <c r="AG47" s="6"/>
    </row>
    <row r="48" spans="1:33" x14ac:dyDescent="0.25">
      <c r="A48" s="10" t="s">
        <v>94</v>
      </c>
      <c r="B48" s="1" t="s">
        <v>143</v>
      </c>
      <c r="F48" s="1" t="s">
        <v>143</v>
      </c>
      <c r="I48" s="1" t="s">
        <v>143</v>
      </c>
      <c r="M48" s="1" t="s">
        <v>143</v>
      </c>
      <c r="O48" s="1" t="s">
        <v>143</v>
      </c>
      <c r="P48" s="34"/>
      <c r="Q48" s="1" t="s">
        <v>143</v>
      </c>
      <c r="U48" s="1" t="s">
        <v>143</v>
      </c>
      <c r="V48" s="36"/>
      <c r="X48" s="1" t="s">
        <v>143</v>
      </c>
      <c r="AB48" s="1" t="s">
        <v>143</v>
      </c>
      <c r="AD48" s="1" t="s">
        <v>143</v>
      </c>
      <c r="AE48" s="34"/>
      <c r="AF48" s="38">
        <f t="shared" si="0"/>
        <v>0</v>
      </c>
      <c r="AG48" s="6"/>
    </row>
    <row r="49" spans="1:33" x14ac:dyDescent="0.25">
      <c r="A49" s="10" t="s">
        <v>95</v>
      </c>
      <c r="B49" s="1" t="s">
        <v>143</v>
      </c>
      <c r="F49" s="1" t="s">
        <v>143</v>
      </c>
      <c r="I49" s="1" t="s">
        <v>143</v>
      </c>
      <c r="M49" s="1" t="s">
        <v>143</v>
      </c>
      <c r="P49" s="34" t="s">
        <v>143</v>
      </c>
      <c r="Q49" s="1" t="s">
        <v>143</v>
      </c>
      <c r="U49" s="1" t="s">
        <v>143</v>
      </c>
      <c r="V49" s="36"/>
      <c r="X49" s="1" t="s">
        <v>143</v>
      </c>
      <c r="AB49" s="1" t="s">
        <v>143</v>
      </c>
      <c r="AE49" s="34" t="s">
        <v>143</v>
      </c>
      <c r="AF49" s="38">
        <f t="shared" si="0"/>
        <v>0</v>
      </c>
      <c r="AG49" s="6"/>
    </row>
    <row r="50" spans="1:33" x14ac:dyDescent="0.25">
      <c r="A50" s="10" t="s">
        <v>96</v>
      </c>
      <c r="B50" s="1" t="s">
        <v>143</v>
      </c>
      <c r="F50" s="1" t="s">
        <v>143</v>
      </c>
      <c r="J50" s="1" t="s">
        <v>143</v>
      </c>
      <c r="K50" s="1" t="s">
        <v>143</v>
      </c>
      <c r="N50" s="1" t="s">
        <v>143</v>
      </c>
      <c r="Q50" s="1" t="s">
        <v>143</v>
      </c>
      <c r="U50" s="1" t="s">
        <v>143</v>
      </c>
      <c r="V50" s="36"/>
      <c r="X50" s="37"/>
      <c r="Y50" s="1" t="s">
        <v>143</v>
      </c>
      <c r="Z50" s="1" t="s">
        <v>143</v>
      </c>
      <c r="AB50" s="37"/>
      <c r="AC50" s="1" t="s">
        <v>143</v>
      </c>
      <c r="AE50" s="36"/>
      <c r="AF50" s="38">
        <f t="shared" si="0"/>
        <v>0</v>
      </c>
      <c r="AG50" s="6"/>
    </row>
    <row r="51" spans="1:33" x14ac:dyDescent="0.25">
      <c r="A51" s="10" t="s">
        <v>97</v>
      </c>
      <c r="B51" s="1" t="s">
        <v>143</v>
      </c>
      <c r="F51" s="1" t="s">
        <v>143</v>
      </c>
      <c r="J51" s="1" t="s">
        <v>143</v>
      </c>
      <c r="K51" s="1" t="s">
        <v>143</v>
      </c>
      <c r="M51" s="47"/>
      <c r="O51" s="1" t="s">
        <v>143</v>
      </c>
      <c r="P51" s="48"/>
      <c r="Q51" s="1" t="s">
        <v>143</v>
      </c>
      <c r="U51" s="1" t="s">
        <v>143</v>
      </c>
      <c r="V51" s="36"/>
      <c r="X51" s="37"/>
      <c r="Y51" s="1" t="s">
        <v>143</v>
      </c>
      <c r="Z51" s="1" t="s">
        <v>143</v>
      </c>
      <c r="AB51" s="47"/>
      <c r="AD51" s="1" t="s">
        <v>143</v>
      </c>
      <c r="AE51" s="48"/>
      <c r="AF51" s="38">
        <f t="shared" si="0"/>
        <v>0</v>
      </c>
      <c r="AG51" s="6"/>
    </row>
    <row r="52" spans="1:33" x14ac:dyDescent="0.25">
      <c r="A52" s="10" t="s">
        <v>98</v>
      </c>
      <c r="B52" s="1" t="s">
        <v>143</v>
      </c>
      <c r="F52" s="1" t="s">
        <v>143</v>
      </c>
      <c r="J52" s="1" t="s">
        <v>143</v>
      </c>
      <c r="K52" s="1" t="s">
        <v>143</v>
      </c>
      <c r="M52" s="1"/>
      <c r="P52" s="34" t="s">
        <v>143</v>
      </c>
      <c r="Q52" s="1" t="s">
        <v>143</v>
      </c>
      <c r="U52" s="1" t="s">
        <v>143</v>
      </c>
      <c r="V52" s="36"/>
      <c r="X52" s="37"/>
      <c r="Y52" s="1" t="s">
        <v>143</v>
      </c>
      <c r="Z52" s="1" t="s">
        <v>143</v>
      </c>
      <c r="AE52" s="34" t="s">
        <v>143</v>
      </c>
      <c r="AF52" s="38">
        <f t="shared" si="0"/>
        <v>0</v>
      </c>
      <c r="AG52" s="6"/>
    </row>
    <row r="53" spans="1:33" x14ac:dyDescent="0.25">
      <c r="A53" s="10" t="s">
        <v>99</v>
      </c>
      <c r="B53" s="1" t="s">
        <v>143</v>
      </c>
      <c r="F53" s="1" t="s">
        <v>143</v>
      </c>
      <c r="J53" s="1" t="s">
        <v>143</v>
      </c>
      <c r="L53" s="1" t="s">
        <v>143</v>
      </c>
      <c r="M53" s="1"/>
      <c r="N53" s="1" t="s">
        <v>143</v>
      </c>
      <c r="P53" s="34"/>
      <c r="Q53" s="1" t="s">
        <v>143</v>
      </c>
      <c r="U53" s="1" t="s">
        <v>143</v>
      </c>
      <c r="V53" s="36"/>
      <c r="X53" s="37"/>
      <c r="Y53" s="1" t="s">
        <v>143</v>
      </c>
      <c r="AA53" s="1" t="s">
        <v>143</v>
      </c>
      <c r="AC53" s="1" t="s">
        <v>143</v>
      </c>
      <c r="AE53" s="34"/>
      <c r="AF53" s="38">
        <f t="shared" si="0"/>
        <v>0</v>
      </c>
      <c r="AG53" s="6"/>
    </row>
    <row r="54" spans="1:33" x14ac:dyDescent="0.25">
      <c r="A54" s="10" t="s">
        <v>100</v>
      </c>
      <c r="B54" s="1" t="s">
        <v>143</v>
      </c>
      <c r="F54" s="1" t="s">
        <v>143</v>
      </c>
      <c r="J54" s="1" t="s">
        <v>143</v>
      </c>
      <c r="L54" s="1" t="s">
        <v>143</v>
      </c>
      <c r="M54" s="1"/>
      <c r="O54" s="1" t="s">
        <v>143</v>
      </c>
      <c r="P54" s="34"/>
      <c r="Q54" s="1" t="s">
        <v>143</v>
      </c>
      <c r="U54" s="1" t="s">
        <v>143</v>
      </c>
      <c r="V54" s="36"/>
      <c r="X54" s="37"/>
      <c r="Y54" s="1" t="s">
        <v>143</v>
      </c>
      <c r="AA54" s="1" t="s">
        <v>143</v>
      </c>
      <c r="AD54" s="1" t="s">
        <v>143</v>
      </c>
      <c r="AE54" s="34"/>
      <c r="AF54" s="38">
        <f t="shared" si="0"/>
        <v>0</v>
      </c>
      <c r="AG54" s="6"/>
    </row>
    <row r="55" spans="1:33" x14ac:dyDescent="0.25">
      <c r="A55" s="10" t="s">
        <v>101</v>
      </c>
      <c r="B55" s="1" t="s">
        <v>143</v>
      </c>
      <c r="F55" s="1" t="s">
        <v>143</v>
      </c>
      <c r="J55" s="1" t="s">
        <v>143</v>
      </c>
      <c r="L55" s="1" t="s">
        <v>143</v>
      </c>
      <c r="M55" s="1"/>
      <c r="P55" s="34" t="s">
        <v>143</v>
      </c>
      <c r="Q55" s="1" t="s">
        <v>143</v>
      </c>
      <c r="U55" s="1" t="s">
        <v>143</v>
      </c>
      <c r="V55" s="36"/>
      <c r="X55" s="37"/>
      <c r="Y55" s="1" t="s">
        <v>143</v>
      </c>
      <c r="AA55" s="1" t="s">
        <v>143</v>
      </c>
      <c r="AE55" s="34" t="s">
        <v>143</v>
      </c>
      <c r="AF55" s="38">
        <f t="shared" si="0"/>
        <v>0</v>
      </c>
      <c r="AG55" s="6"/>
    </row>
    <row r="56" spans="1:33" x14ac:dyDescent="0.25">
      <c r="A56" s="10" t="s">
        <v>102</v>
      </c>
      <c r="B56" s="1" t="s">
        <v>143</v>
      </c>
      <c r="F56" s="1" t="s">
        <v>143</v>
      </c>
      <c r="J56" s="1" t="s">
        <v>143</v>
      </c>
      <c r="M56" s="1" t="s">
        <v>143</v>
      </c>
      <c r="N56" s="1" t="s">
        <v>143</v>
      </c>
      <c r="P56" s="34"/>
      <c r="Q56" s="1" t="s">
        <v>143</v>
      </c>
      <c r="U56" s="1" t="s">
        <v>143</v>
      </c>
      <c r="V56" s="36"/>
      <c r="X56" s="37"/>
      <c r="Y56" s="1" t="s">
        <v>143</v>
      </c>
      <c r="AB56" s="1" t="s">
        <v>143</v>
      </c>
      <c r="AC56" s="1" t="s">
        <v>143</v>
      </c>
      <c r="AE56" s="34"/>
      <c r="AF56" s="38">
        <f t="shared" si="0"/>
        <v>0</v>
      </c>
      <c r="AG56" s="6"/>
    </row>
    <row r="57" spans="1:33" x14ac:dyDescent="0.25">
      <c r="A57" s="10" t="s">
        <v>103</v>
      </c>
      <c r="B57" s="1" t="s">
        <v>143</v>
      </c>
      <c r="F57" s="1" t="s">
        <v>143</v>
      </c>
      <c r="J57" s="1" t="s">
        <v>143</v>
      </c>
      <c r="M57" s="1" t="s">
        <v>143</v>
      </c>
      <c r="O57" s="1" t="s">
        <v>143</v>
      </c>
      <c r="P57" s="34"/>
      <c r="Q57" s="1" t="s">
        <v>143</v>
      </c>
      <c r="U57" s="1" t="s">
        <v>143</v>
      </c>
      <c r="V57" s="36"/>
      <c r="X57" s="37"/>
      <c r="Y57" s="1" t="s">
        <v>143</v>
      </c>
      <c r="AB57" s="1" t="s">
        <v>143</v>
      </c>
      <c r="AD57" s="1" t="s">
        <v>143</v>
      </c>
      <c r="AE57" s="34"/>
      <c r="AF57" s="38">
        <f t="shared" si="0"/>
        <v>0</v>
      </c>
      <c r="AG57" s="6"/>
    </row>
    <row r="58" spans="1:33" x14ac:dyDescent="0.25">
      <c r="A58" s="10" t="s">
        <v>104</v>
      </c>
      <c r="B58" s="1" t="s">
        <v>143</v>
      </c>
      <c r="F58" s="1" t="s">
        <v>143</v>
      </c>
      <c r="J58" s="1" t="s">
        <v>143</v>
      </c>
      <c r="M58" s="1" t="s">
        <v>143</v>
      </c>
      <c r="P58" s="34" t="s">
        <v>143</v>
      </c>
      <c r="Q58" s="1" t="s">
        <v>143</v>
      </c>
      <c r="U58" s="1" t="s">
        <v>143</v>
      </c>
      <c r="V58" s="36"/>
      <c r="X58" s="37"/>
      <c r="Y58" s="1" t="s">
        <v>143</v>
      </c>
      <c r="AB58" s="1" t="s">
        <v>143</v>
      </c>
      <c r="AE58" s="34" t="s">
        <v>143</v>
      </c>
      <c r="AF58" s="38">
        <f t="shared" si="0"/>
        <v>0</v>
      </c>
      <c r="AG58" s="6"/>
    </row>
    <row r="59" spans="1:33" x14ac:dyDescent="0.25">
      <c r="A59" s="10" t="s">
        <v>105</v>
      </c>
      <c r="B59" s="1" t="s">
        <v>143</v>
      </c>
      <c r="D59" s="34"/>
      <c r="G59" s="1" t="s">
        <v>143</v>
      </c>
      <c r="H59" s="1" t="s">
        <v>143</v>
      </c>
      <c r="K59" s="1" t="s">
        <v>143</v>
      </c>
      <c r="N59" s="1" t="s">
        <v>143</v>
      </c>
      <c r="Q59" s="1" t="s">
        <v>143</v>
      </c>
      <c r="S59" s="34"/>
      <c r="V59" s="1" t="s">
        <v>143</v>
      </c>
      <c r="W59" s="1" t="s">
        <v>143</v>
      </c>
      <c r="X59" s="37"/>
      <c r="Z59" s="1" t="s">
        <v>143</v>
      </c>
      <c r="AB59" s="37"/>
      <c r="AC59" s="1" t="s">
        <v>143</v>
      </c>
      <c r="AE59" s="36"/>
      <c r="AF59" s="38">
        <f t="shared" si="0"/>
        <v>0</v>
      </c>
      <c r="AG59" s="6"/>
    </row>
    <row r="60" spans="1:33" x14ac:dyDescent="0.25">
      <c r="A60" s="10" t="s">
        <v>106</v>
      </c>
      <c r="B60" s="1" t="s">
        <v>143</v>
      </c>
      <c r="D60" s="34"/>
      <c r="G60" s="1" t="s">
        <v>143</v>
      </c>
      <c r="H60" s="1" t="s">
        <v>143</v>
      </c>
      <c r="K60" s="1" t="s">
        <v>143</v>
      </c>
      <c r="M60" s="47"/>
      <c r="O60" s="1" t="s">
        <v>143</v>
      </c>
      <c r="P60" s="48"/>
      <c r="Q60" s="1" t="s">
        <v>143</v>
      </c>
      <c r="S60" s="34"/>
      <c r="V60" s="1" t="s">
        <v>143</v>
      </c>
      <c r="W60" s="1" t="s">
        <v>143</v>
      </c>
      <c r="X60" s="37"/>
      <c r="Z60" s="1" t="s">
        <v>143</v>
      </c>
      <c r="AB60" s="47"/>
      <c r="AD60" s="1" t="s">
        <v>143</v>
      </c>
      <c r="AE60" s="48"/>
      <c r="AF60" s="38">
        <f t="shared" si="0"/>
        <v>0</v>
      </c>
      <c r="AG60" s="6"/>
    </row>
    <row r="61" spans="1:33" x14ac:dyDescent="0.25">
      <c r="A61" s="10" t="s">
        <v>107</v>
      </c>
      <c r="B61" s="1" t="s">
        <v>143</v>
      </c>
      <c r="D61" s="34"/>
      <c r="G61" s="1" t="s">
        <v>143</v>
      </c>
      <c r="H61" s="1" t="s">
        <v>143</v>
      </c>
      <c r="K61" s="1" t="s">
        <v>143</v>
      </c>
      <c r="M61" s="1"/>
      <c r="P61" s="34" t="s">
        <v>143</v>
      </c>
      <c r="Q61" s="1" t="s">
        <v>143</v>
      </c>
      <c r="S61" s="34"/>
      <c r="V61" s="1" t="s">
        <v>143</v>
      </c>
      <c r="W61" s="1" t="s">
        <v>143</v>
      </c>
      <c r="X61" s="37"/>
      <c r="Z61" s="1" t="s">
        <v>143</v>
      </c>
      <c r="AE61" s="34" t="s">
        <v>143</v>
      </c>
      <c r="AF61" s="38">
        <f t="shared" si="0"/>
        <v>0</v>
      </c>
      <c r="AG61" s="6"/>
    </row>
    <row r="62" spans="1:33" x14ac:dyDescent="0.25">
      <c r="A62" s="10" t="s">
        <v>108</v>
      </c>
      <c r="B62" s="1" t="s">
        <v>143</v>
      </c>
      <c r="D62" s="34"/>
      <c r="G62" s="1" t="s">
        <v>143</v>
      </c>
      <c r="H62" s="1" t="s">
        <v>143</v>
      </c>
      <c r="L62" s="1" t="s">
        <v>143</v>
      </c>
      <c r="M62" s="1"/>
      <c r="N62" s="1" t="s">
        <v>143</v>
      </c>
      <c r="P62" s="34"/>
      <c r="Q62" s="1" t="s">
        <v>143</v>
      </c>
      <c r="S62" s="34"/>
      <c r="V62" s="1" t="s">
        <v>143</v>
      </c>
      <c r="W62" s="1" t="s">
        <v>143</v>
      </c>
      <c r="X62" s="37"/>
      <c r="AA62" s="1" t="s">
        <v>143</v>
      </c>
      <c r="AC62" s="1" t="s">
        <v>143</v>
      </c>
      <c r="AE62" s="34"/>
      <c r="AF62" s="38">
        <f t="shared" si="0"/>
        <v>0</v>
      </c>
      <c r="AG62" s="6"/>
    </row>
    <row r="63" spans="1:33" x14ac:dyDescent="0.25">
      <c r="A63" s="10" t="s">
        <v>109</v>
      </c>
      <c r="B63" s="1" t="s">
        <v>143</v>
      </c>
      <c r="D63" s="34"/>
      <c r="G63" s="1" t="s">
        <v>143</v>
      </c>
      <c r="H63" s="1" t="s">
        <v>143</v>
      </c>
      <c r="L63" s="1" t="s">
        <v>143</v>
      </c>
      <c r="M63" s="1"/>
      <c r="O63" s="1" t="s">
        <v>143</v>
      </c>
      <c r="P63" s="34"/>
      <c r="Q63" s="1" t="s">
        <v>143</v>
      </c>
      <c r="S63" s="34"/>
      <c r="V63" s="1" t="s">
        <v>143</v>
      </c>
      <c r="W63" s="1" t="s">
        <v>143</v>
      </c>
      <c r="X63" s="37"/>
      <c r="AA63" s="1" t="s">
        <v>143</v>
      </c>
      <c r="AD63" s="1" t="s">
        <v>143</v>
      </c>
      <c r="AE63" s="34"/>
      <c r="AF63" s="38">
        <f t="shared" si="0"/>
        <v>0</v>
      </c>
      <c r="AG63" s="6"/>
    </row>
    <row r="64" spans="1:33" x14ac:dyDescent="0.25">
      <c r="A64" s="10" t="s">
        <v>110</v>
      </c>
      <c r="B64" s="1" t="s">
        <v>143</v>
      </c>
      <c r="D64" s="34"/>
      <c r="G64" s="1" t="s">
        <v>143</v>
      </c>
      <c r="H64" s="1" t="s">
        <v>143</v>
      </c>
      <c r="L64" s="1" t="s">
        <v>143</v>
      </c>
      <c r="M64" s="1"/>
      <c r="P64" s="34" t="s">
        <v>143</v>
      </c>
      <c r="Q64" s="1" t="s">
        <v>143</v>
      </c>
      <c r="S64" s="34"/>
      <c r="V64" s="1" t="s">
        <v>143</v>
      </c>
      <c r="W64" s="1" t="s">
        <v>143</v>
      </c>
      <c r="X64" s="37"/>
      <c r="AA64" s="1" t="s">
        <v>143</v>
      </c>
      <c r="AE64" s="34" t="s">
        <v>143</v>
      </c>
      <c r="AF64" s="38">
        <f t="shared" si="0"/>
        <v>0</v>
      </c>
      <c r="AG64" s="6"/>
    </row>
    <row r="65" spans="1:33" x14ac:dyDescent="0.25">
      <c r="A65" s="10" t="s">
        <v>111</v>
      </c>
      <c r="B65" s="1" t="s">
        <v>143</v>
      </c>
      <c r="D65" s="34"/>
      <c r="G65" s="1" t="s">
        <v>143</v>
      </c>
      <c r="H65" s="1" t="s">
        <v>143</v>
      </c>
      <c r="M65" s="1" t="s">
        <v>143</v>
      </c>
      <c r="N65" s="1" t="s">
        <v>143</v>
      </c>
      <c r="P65" s="34"/>
      <c r="Q65" s="1" t="s">
        <v>143</v>
      </c>
      <c r="S65" s="34"/>
      <c r="V65" s="1" t="s">
        <v>143</v>
      </c>
      <c r="W65" s="1" t="s">
        <v>143</v>
      </c>
      <c r="X65" s="37"/>
      <c r="AB65" s="1" t="s">
        <v>143</v>
      </c>
      <c r="AC65" s="1" t="s">
        <v>143</v>
      </c>
      <c r="AE65" s="34"/>
      <c r="AF65" s="38">
        <f t="shared" si="0"/>
        <v>0</v>
      </c>
      <c r="AG65" s="6"/>
    </row>
    <row r="66" spans="1:33" x14ac:dyDescent="0.25">
      <c r="A66" s="10" t="s">
        <v>112</v>
      </c>
      <c r="B66" s="1" t="s">
        <v>143</v>
      </c>
      <c r="D66" s="34"/>
      <c r="G66" s="1" t="s">
        <v>143</v>
      </c>
      <c r="H66" s="1" t="s">
        <v>143</v>
      </c>
      <c r="M66" s="1" t="s">
        <v>143</v>
      </c>
      <c r="O66" s="1" t="s">
        <v>143</v>
      </c>
      <c r="P66" s="34"/>
      <c r="Q66" s="1" t="s">
        <v>143</v>
      </c>
      <c r="S66" s="34"/>
      <c r="V66" s="1" t="s">
        <v>143</v>
      </c>
      <c r="W66" s="1" t="s">
        <v>143</v>
      </c>
      <c r="X66" s="37"/>
      <c r="AB66" s="1" t="s">
        <v>143</v>
      </c>
      <c r="AD66" s="1" t="s">
        <v>143</v>
      </c>
      <c r="AE66" s="34"/>
      <c r="AF66" s="38">
        <f t="shared" si="0"/>
        <v>0</v>
      </c>
      <c r="AG66" s="6"/>
    </row>
    <row r="67" spans="1:33" x14ac:dyDescent="0.25">
      <c r="A67" s="10" t="s">
        <v>113</v>
      </c>
      <c r="B67" s="1" t="s">
        <v>143</v>
      </c>
      <c r="D67" s="34"/>
      <c r="G67" s="1" t="s">
        <v>143</v>
      </c>
      <c r="H67" s="1" t="s">
        <v>143</v>
      </c>
      <c r="M67" s="1" t="s">
        <v>143</v>
      </c>
      <c r="P67" s="34" t="s">
        <v>143</v>
      </c>
      <c r="Q67" s="1" t="s">
        <v>143</v>
      </c>
      <c r="S67" s="34"/>
      <c r="V67" s="1" t="s">
        <v>143</v>
      </c>
      <c r="W67" s="1" t="s">
        <v>143</v>
      </c>
      <c r="X67" s="37"/>
      <c r="AB67" s="1" t="s">
        <v>143</v>
      </c>
      <c r="AE67" s="34" t="s">
        <v>143</v>
      </c>
      <c r="AF67" s="38">
        <f t="shared" si="0"/>
        <v>0</v>
      </c>
      <c r="AG67" s="6"/>
    </row>
    <row r="68" spans="1:33" x14ac:dyDescent="0.25">
      <c r="A68" s="10" t="s">
        <v>114</v>
      </c>
      <c r="B68" s="1" t="s">
        <v>143</v>
      </c>
      <c r="D68" s="34"/>
      <c r="G68" s="1" t="s">
        <v>143</v>
      </c>
      <c r="I68" s="1" t="s">
        <v>143</v>
      </c>
      <c r="K68" s="1" t="s">
        <v>143</v>
      </c>
      <c r="N68" s="1" t="s">
        <v>143</v>
      </c>
      <c r="Q68" s="1" t="s">
        <v>143</v>
      </c>
      <c r="S68" s="34"/>
      <c r="V68" s="1" t="s">
        <v>143</v>
      </c>
      <c r="X68" s="1" t="s">
        <v>143</v>
      </c>
      <c r="Z68" s="1" t="s">
        <v>143</v>
      </c>
      <c r="AB68" s="37"/>
      <c r="AC68" s="1" t="s">
        <v>143</v>
      </c>
      <c r="AE68" s="36"/>
      <c r="AF68" s="38">
        <f t="shared" si="0"/>
        <v>0</v>
      </c>
      <c r="AG68" s="6"/>
    </row>
    <row r="69" spans="1:33" x14ac:dyDescent="0.25">
      <c r="A69" s="10" t="s">
        <v>115</v>
      </c>
      <c r="B69" s="1" t="s">
        <v>143</v>
      </c>
      <c r="D69" s="34"/>
      <c r="G69" s="1" t="s">
        <v>143</v>
      </c>
      <c r="I69" s="1" t="s">
        <v>143</v>
      </c>
      <c r="K69" s="1" t="s">
        <v>143</v>
      </c>
      <c r="M69" s="47"/>
      <c r="O69" s="1" t="s">
        <v>143</v>
      </c>
      <c r="P69" s="48"/>
      <c r="Q69" s="1" t="s">
        <v>143</v>
      </c>
      <c r="S69" s="34"/>
      <c r="V69" s="1" t="s">
        <v>143</v>
      </c>
      <c r="X69" s="1" t="s">
        <v>143</v>
      </c>
      <c r="Z69" s="1" t="s">
        <v>143</v>
      </c>
      <c r="AB69" s="47"/>
      <c r="AD69" s="1" t="s">
        <v>143</v>
      </c>
      <c r="AE69" s="48"/>
      <c r="AF69" s="38">
        <f t="shared" si="0"/>
        <v>0</v>
      </c>
      <c r="AG69" s="6"/>
    </row>
    <row r="70" spans="1:33" x14ac:dyDescent="0.25">
      <c r="A70" s="10" t="s">
        <v>116</v>
      </c>
      <c r="B70" s="1" t="s">
        <v>143</v>
      </c>
      <c r="D70" s="34"/>
      <c r="G70" s="1" t="s">
        <v>143</v>
      </c>
      <c r="I70" s="1" t="s">
        <v>143</v>
      </c>
      <c r="K70" s="1" t="s">
        <v>143</v>
      </c>
      <c r="M70" s="1"/>
      <c r="P70" s="34" t="s">
        <v>143</v>
      </c>
      <c r="Q70" s="1" t="s">
        <v>143</v>
      </c>
      <c r="S70" s="34"/>
      <c r="V70" s="1" t="s">
        <v>143</v>
      </c>
      <c r="X70" s="1" t="s">
        <v>143</v>
      </c>
      <c r="Z70" s="1" t="s">
        <v>143</v>
      </c>
      <c r="AE70" s="34" t="s">
        <v>143</v>
      </c>
      <c r="AF70" s="38">
        <f t="shared" ref="AF70:AF133" si="1">+AVERAGEIF(B70:AE70,"=X",$B$4:$AE$4)</f>
        <v>0</v>
      </c>
      <c r="AG70" s="6"/>
    </row>
    <row r="71" spans="1:33" x14ac:dyDescent="0.25">
      <c r="A71" s="10" t="s">
        <v>117</v>
      </c>
      <c r="B71" s="1" t="s">
        <v>143</v>
      </c>
      <c r="D71" s="34"/>
      <c r="G71" s="1" t="s">
        <v>143</v>
      </c>
      <c r="I71" s="1" t="s">
        <v>143</v>
      </c>
      <c r="L71" s="1" t="s">
        <v>143</v>
      </c>
      <c r="M71" s="1"/>
      <c r="N71" s="1" t="s">
        <v>143</v>
      </c>
      <c r="P71" s="34"/>
      <c r="Q71" s="1" t="s">
        <v>143</v>
      </c>
      <c r="S71" s="34"/>
      <c r="V71" s="1" t="s">
        <v>143</v>
      </c>
      <c r="X71" s="1" t="s">
        <v>143</v>
      </c>
      <c r="AA71" s="1" t="s">
        <v>143</v>
      </c>
      <c r="AC71" s="1" t="s">
        <v>143</v>
      </c>
      <c r="AE71" s="34"/>
      <c r="AF71" s="38">
        <f t="shared" si="1"/>
        <v>0</v>
      </c>
      <c r="AG71" s="6"/>
    </row>
    <row r="72" spans="1:33" x14ac:dyDescent="0.25">
      <c r="A72" s="10" t="s">
        <v>118</v>
      </c>
      <c r="B72" s="1" t="s">
        <v>143</v>
      </c>
      <c r="D72" s="34"/>
      <c r="G72" s="1" t="s">
        <v>143</v>
      </c>
      <c r="I72" s="1" t="s">
        <v>143</v>
      </c>
      <c r="L72" s="1" t="s">
        <v>143</v>
      </c>
      <c r="M72" s="1"/>
      <c r="O72" s="1" t="s">
        <v>143</v>
      </c>
      <c r="P72" s="34"/>
      <c r="Q72" s="1" t="s">
        <v>143</v>
      </c>
      <c r="S72" s="34"/>
      <c r="V72" s="1" t="s">
        <v>143</v>
      </c>
      <c r="X72" s="1" t="s">
        <v>143</v>
      </c>
      <c r="AA72" s="1" t="s">
        <v>143</v>
      </c>
      <c r="AD72" s="1" t="s">
        <v>143</v>
      </c>
      <c r="AE72" s="34"/>
      <c r="AF72" s="38">
        <f t="shared" si="1"/>
        <v>0</v>
      </c>
      <c r="AG72" s="6"/>
    </row>
    <row r="73" spans="1:33" x14ac:dyDescent="0.25">
      <c r="A73" s="10" t="s">
        <v>119</v>
      </c>
      <c r="B73" s="1" t="s">
        <v>143</v>
      </c>
      <c r="D73" s="34"/>
      <c r="G73" s="1" t="s">
        <v>143</v>
      </c>
      <c r="I73" s="1" t="s">
        <v>143</v>
      </c>
      <c r="L73" s="1" t="s">
        <v>143</v>
      </c>
      <c r="M73" s="1"/>
      <c r="P73" s="34" t="s">
        <v>143</v>
      </c>
      <c r="Q73" s="1" t="s">
        <v>143</v>
      </c>
      <c r="S73" s="34"/>
      <c r="V73" s="1" t="s">
        <v>143</v>
      </c>
      <c r="X73" s="1" t="s">
        <v>143</v>
      </c>
      <c r="AA73" s="1" t="s">
        <v>143</v>
      </c>
      <c r="AE73" s="34" t="s">
        <v>143</v>
      </c>
      <c r="AF73" s="38">
        <f t="shared" si="1"/>
        <v>0</v>
      </c>
      <c r="AG73" s="6"/>
    </row>
    <row r="74" spans="1:33" x14ac:dyDescent="0.25">
      <c r="A74" s="10" t="s">
        <v>120</v>
      </c>
      <c r="B74" s="1" t="s">
        <v>143</v>
      </c>
      <c r="D74" s="34"/>
      <c r="G74" s="1" t="s">
        <v>143</v>
      </c>
      <c r="I74" s="1" t="s">
        <v>143</v>
      </c>
      <c r="M74" s="1" t="s">
        <v>143</v>
      </c>
      <c r="N74" s="1" t="s">
        <v>143</v>
      </c>
      <c r="P74" s="34"/>
      <c r="Q74" s="1" t="s">
        <v>143</v>
      </c>
      <c r="S74" s="34"/>
      <c r="V74" s="1" t="s">
        <v>143</v>
      </c>
      <c r="X74" s="1" t="s">
        <v>143</v>
      </c>
      <c r="AB74" s="1" t="s">
        <v>143</v>
      </c>
      <c r="AC74" s="1" t="s">
        <v>143</v>
      </c>
      <c r="AE74" s="34"/>
      <c r="AF74" s="38">
        <f t="shared" si="1"/>
        <v>0</v>
      </c>
      <c r="AG74" s="6"/>
    </row>
    <row r="75" spans="1:33" x14ac:dyDescent="0.25">
      <c r="A75" s="10" t="s">
        <v>121</v>
      </c>
      <c r="B75" s="1" t="s">
        <v>143</v>
      </c>
      <c r="D75" s="34"/>
      <c r="G75" s="1" t="s">
        <v>143</v>
      </c>
      <c r="I75" s="1" t="s">
        <v>143</v>
      </c>
      <c r="M75" s="1" t="s">
        <v>143</v>
      </c>
      <c r="O75" s="1" t="s">
        <v>143</v>
      </c>
      <c r="P75" s="34"/>
      <c r="Q75" s="1" t="s">
        <v>143</v>
      </c>
      <c r="S75" s="34"/>
      <c r="V75" s="1" t="s">
        <v>143</v>
      </c>
      <c r="X75" s="1" t="s">
        <v>143</v>
      </c>
      <c r="AB75" s="1" t="s">
        <v>143</v>
      </c>
      <c r="AD75" s="1" t="s">
        <v>143</v>
      </c>
      <c r="AE75" s="34"/>
      <c r="AF75" s="38">
        <f t="shared" si="1"/>
        <v>0</v>
      </c>
      <c r="AG75" s="6"/>
    </row>
    <row r="76" spans="1:33" x14ac:dyDescent="0.25">
      <c r="A76" s="10" t="s">
        <v>122</v>
      </c>
      <c r="B76" s="1" t="s">
        <v>143</v>
      </c>
      <c r="D76" s="34"/>
      <c r="G76" s="1" t="s">
        <v>143</v>
      </c>
      <c r="I76" s="1" t="s">
        <v>143</v>
      </c>
      <c r="M76" s="1" t="s">
        <v>143</v>
      </c>
      <c r="P76" s="34" t="s">
        <v>143</v>
      </c>
      <c r="Q76" s="1" t="s">
        <v>143</v>
      </c>
      <c r="S76" s="34"/>
      <c r="V76" s="1" t="s">
        <v>143</v>
      </c>
      <c r="X76" s="1" t="s">
        <v>143</v>
      </c>
      <c r="AB76" s="1" t="s">
        <v>143</v>
      </c>
      <c r="AE76" s="34" t="s">
        <v>143</v>
      </c>
      <c r="AF76" s="38">
        <f t="shared" si="1"/>
        <v>0</v>
      </c>
      <c r="AG76" s="6"/>
    </row>
    <row r="77" spans="1:33" x14ac:dyDescent="0.25">
      <c r="A77" s="10" t="s">
        <v>123</v>
      </c>
      <c r="B77" s="1" t="s">
        <v>143</v>
      </c>
      <c r="D77" s="34"/>
      <c r="G77" s="1" t="s">
        <v>143</v>
      </c>
      <c r="J77" s="1" t="s">
        <v>143</v>
      </c>
      <c r="K77" s="1" t="s">
        <v>143</v>
      </c>
      <c r="N77" s="1" t="s">
        <v>143</v>
      </c>
      <c r="Q77" s="1" t="s">
        <v>143</v>
      </c>
      <c r="S77" s="34"/>
      <c r="V77" s="1" t="s">
        <v>143</v>
      </c>
      <c r="X77" s="37"/>
      <c r="Y77" s="1" t="s">
        <v>143</v>
      </c>
      <c r="Z77" s="1" t="s">
        <v>143</v>
      </c>
      <c r="AB77" s="37"/>
      <c r="AC77" s="1" t="s">
        <v>143</v>
      </c>
      <c r="AE77" s="36"/>
      <c r="AF77" s="38">
        <f t="shared" si="1"/>
        <v>0</v>
      </c>
      <c r="AG77" s="6"/>
    </row>
    <row r="78" spans="1:33" x14ac:dyDescent="0.25">
      <c r="A78" s="10" t="s">
        <v>124</v>
      </c>
      <c r="B78" s="1" t="s">
        <v>143</v>
      </c>
      <c r="D78" s="34"/>
      <c r="G78" s="1" t="s">
        <v>143</v>
      </c>
      <c r="J78" s="1" t="s">
        <v>143</v>
      </c>
      <c r="K78" s="1" t="s">
        <v>143</v>
      </c>
      <c r="M78" s="47"/>
      <c r="O78" s="1" t="s">
        <v>143</v>
      </c>
      <c r="P78" s="48"/>
      <c r="Q78" s="1" t="s">
        <v>143</v>
      </c>
      <c r="S78" s="34"/>
      <c r="V78" s="1" t="s">
        <v>143</v>
      </c>
      <c r="X78" s="37"/>
      <c r="Y78" s="1" t="s">
        <v>143</v>
      </c>
      <c r="Z78" s="1" t="s">
        <v>143</v>
      </c>
      <c r="AB78" s="47"/>
      <c r="AD78" s="1" t="s">
        <v>143</v>
      </c>
      <c r="AE78" s="48"/>
      <c r="AF78" s="38">
        <f t="shared" si="1"/>
        <v>0</v>
      </c>
      <c r="AG78" s="6"/>
    </row>
    <row r="79" spans="1:33" x14ac:dyDescent="0.25">
      <c r="A79" s="10" t="s">
        <v>125</v>
      </c>
      <c r="B79" s="1" t="s">
        <v>143</v>
      </c>
      <c r="D79" s="34"/>
      <c r="G79" s="1" t="s">
        <v>143</v>
      </c>
      <c r="J79" s="1" t="s">
        <v>143</v>
      </c>
      <c r="K79" s="1" t="s">
        <v>143</v>
      </c>
      <c r="M79" s="1"/>
      <c r="P79" s="34" t="s">
        <v>143</v>
      </c>
      <c r="Q79" s="1" t="s">
        <v>143</v>
      </c>
      <c r="S79" s="34"/>
      <c r="V79" s="1" t="s">
        <v>143</v>
      </c>
      <c r="X79" s="37"/>
      <c r="Y79" s="1" t="s">
        <v>143</v>
      </c>
      <c r="Z79" s="1" t="s">
        <v>143</v>
      </c>
      <c r="AE79" s="34" t="s">
        <v>143</v>
      </c>
      <c r="AF79" s="38">
        <f t="shared" si="1"/>
        <v>0</v>
      </c>
      <c r="AG79" s="6"/>
    </row>
    <row r="80" spans="1:33" x14ac:dyDescent="0.25">
      <c r="A80" s="10" t="s">
        <v>126</v>
      </c>
      <c r="B80" s="1" t="s">
        <v>143</v>
      </c>
      <c r="D80" s="34"/>
      <c r="G80" s="1" t="s">
        <v>143</v>
      </c>
      <c r="J80" s="1" t="s">
        <v>143</v>
      </c>
      <c r="L80" s="1" t="s">
        <v>143</v>
      </c>
      <c r="M80" s="1"/>
      <c r="N80" s="1" t="s">
        <v>143</v>
      </c>
      <c r="P80" s="34"/>
      <c r="Q80" s="1" t="s">
        <v>143</v>
      </c>
      <c r="S80" s="34"/>
      <c r="V80" s="1" t="s">
        <v>143</v>
      </c>
      <c r="X80" s="37"/>
      <c r="Y80" s="1" t="s">
        <v>143</v>
      </c>
      <c r="AA80" s="1" t="s">
        <v>143</v>
      </c>
      <c r="AC80" s="1" t="s">
        <v>143</v>
      </c>
      <c r="AE80" s="34"/>
      <c r="AF80" s="38">
        <f t="shared" si="1"/>
        <v>0</v>
      </c>
      <c r="AG80" s="6"/>
    </row>
    <row r="81" spans="1:33" x14ac:dyDescent="0.25">
      <c r="A81" s="10" t="s">
        <v>127</v>
      </c>
      <c r="B81" s="1" t="s">
        <v>143</v>
      </c>
      <c r="D81" s="34"/>
      <c r="G81" s="1" t="s">
        <v>143</v>
      </c>
      <c r="J81" s="1" t="s">
        <v>143</v>
      </c>
      <c r="L81" s="1" t="s">
        <v>143</v>
      </c>
      <c r="M81" s="1"/>
      <c r="O81" s="1" t="s">
        <v>143</v>
      </c>
      <c r="P81" s="34"/>
      <c r="Q81" s="1" t="s">
        <v>143</v>
      </c>
      <c r="S81" s="34"/>
      <c r="V81" s="1" t="s">
        <v>143</v>
      </c>
      <c r="X81" s="37"/>
      <c r="Y81" s="1" t="s">
        <v>143</v>
      </c>
      <c r="AA81" s="1" t="s">
        <v>143</v>
      </c>
      <c r="AD81" s="1" t="s">
        <v>143</v>
      </c>
      <c r="AE81" s="34"/>
      <c r="AF81" s="38">
        <f t="shared" si="1"/>
        <v>0</v>
      </c>
      <c r="AG81" s="6"/>
    </row>
    <row r="82" spans="1:33" x14ac:dyDescent="0.25">
      <c r="A82" s="10" t="s">
        <v>128</v>
      </c>
      <c r="B82" s="1" t="s">
        <v>143</v>
      </c>
      <c r="D82" s="34"/>
      <c r="G82" s="1" t="s">
        <v>143</v>
      </c>
      <c r="J82" s="1" t="s">
        <v>143</v>
      </c>
      <c r="L82" s="1" t="s">
        <v>143</v>
      </c>
      <c r="M82" s="1"/>
      <c r="P82" s="34" t="s">
        <v>143</v>
      </c>
      <c r="Q82" s="1" t="s">
        <v>143</v>
      </c>
      <c r="S82" s="34"/>
      <c r="V82" s="1" t="s">
        <v>143</v>
      </c>
      <c r="X82" s="37"/>
      <c r="Y82" s="1" t="s">
        <v>143</v>
      </c>
      <c r="AA82" s="1" t="s">
        <v>143</v>
      </c>
      <c r="AE82" s="34" t="s">
        <v>143</v>
      </c>
      <c r="AF82" s="38">
        <f t="shared" si="1"/>
        <v>0</v>
      </c>
      <c r="AG82" s="6"/>
    </row>
    <row r="83" spans="1:33" x14ac:dyDescent="0.25">
      <c r="A83" s="10" t="s">
        <v>129</v>
      </c>
      <c r="B83" s="1" t="s">
        <v>143</v>
      </c>
      <c r="D83" s="34"/>
      <c r="G83" s="1" t="s">
        <v>143</v>
      </c>
      <c r="J83" s="1" t="s">
        <v>143</v>
      </c>
      <c r="M83" s="1" t="s">
        <v>143</v>
      </c>
      <c r="N83" s="1" t="s">
        <v>143</v>
      </c>
      <c r="P83" s="34"/>
      <c r="Q83" s="1" t="s">
        <v>143</v>
      </c>
      <c r="S83" s="34"/>
      <c r="V83" s="1" t="s">
        <v>143</v>
      </c>
      <c r="X83" s="37"/>
      <c r="Y83" s="1" t="s">
        <v>143</v>
      </c>
      <c r="AB83" s="1" t="s">
        <v>143</v>
      </c>
      <c r="AC83" s="1" t="s">
        <v>143</v>
      </c>
      <c r="AE83" s="34"/>
      <c r="AF83" s="38">
        <f t="shared" si="1"/>
        <v>0</v>
      </c>
      <c r="AG83" s="6"/>
    </row>
    <row r="84" spans="1:33" x14ac:dyDescent="0.25">
      <c r="A84" s="10" t="s">
        <v>130</v>
      </c>
      <c r="B84" s="1" t="s">
        <v>143</v>
      </c>
      <c r="D84" s="34"/>
      <c r="G84" s="1" t="s">
        <v>143</v>
      </c>
      <c r="J84" s="1" t="s">
        <v>143</v>
      </c>
      <c r="M84" s="1" t="s">
        <v>143</v>
      </c>
      <c r="O84" s="1" t="s">
        <v>143</v>
      </c>
      <c r="P84" s="34"/>
      <c r="Q84" s="1" t="s">
        <v>143</v>
      </c>
      <c r="S84" s="34"/>
      <c r="V84" s="1" t="s">
        <v>143</v>
      </c>
      <c r="X84" s="37"/>
      <c r="Y84" s="1" t="s">
        <v>143</v>
      </c>
      <c r="AB84" s="1" t="s">
        <v>143</v>
      </c>
      <c r="AD84" s="1" t="s">
        <v>143</v>
      </c>
      <c r="AE84" s="34"/>
      <c r="AF84" s="38">
        <f t="shared" si="1"/>
        <v>0</v>
      </c>
      <c r="AG84" s="6"/>
    </row>
    <row r="85" spans="1:33" ht="15.75" thickBot="1" x14ac:dyDescent="0.3">
      <c r="A85" s="11" t="s">
        <v>131</v>
      </c>
      <c r="B85" s="1" t="s">
        <v>143</v>
      </c>
      <c r="C85" s="30"/>
      <c r="D85" s="35"/>
      <c r="E85" s="30"/>
      <c r="F85" s="30"/>
      <c r="G85" s="1" t="s">
        <v>143</v>
      </c>
      <c r="J85" s="1" t="s">
        <v>143</v>
      </c>
      <c r="M85" s="1" t="s">
        <v>143</v>
      </c>
      <c r="P85" s="34" t="s">
        <v>143</v>
      </c>
      <c r="Q85" s="1" t="s">
        <v>143</v>
      </c>
      <c r="R85" s="30"/>
      <c r="S85" s="35"/>
      <c r="T85" s="30"/>
      <c r="U85" s="30"/>
      <c r="V85" s="1" t="s">
        <v>143</v>
      </c>
      <c r="X85" s="37"/>
      <c r="Y85" s="1" t="s">
        <v>143</v>
      </c>
      <c r="AB85" s="1" t="s">
        <v>143</v>
      </c>
      <c r="AE85" s="34" t="s">
        <v>143</v>
      </c>
      <c r="AF85" s="39">
        <f t="shared" si="1"/>
        <v>0</v>
      </c>
      <c r="AG85" s="8"/>
    </row>
    <row r="86" spans="1:33" ht="15.75" thickBot="1" x14ac:dyDescent="0.3">
      <c r="C86" s="1" t="s">
        <v>143</v>
      </c>
      <c r="E86" s="1" t="s">
        <v>143</v>
      </c>
      <c r="H86" s="1" t="s">
        <v>143</v>
      </c>
      <c r="K86" s="1" t="s">
        <v>143</v>
      </c>
      <c r="N86" s="1" t="s">
        <v>143</v>
      </c>
      <c r="R86" s="1" t="s">
        <v>143</v>
      </c>
      <c r="T86" s="1" t="s">
        <v>143</v>
      </c>
      <c r="V86" s="36"/>
      <c r="W86" s="1" t="s">
        <v>143</v>
      </c>
      <c r="X86" s="37"/>
      <c r="Z86" s="1" t="s">
        <v>143</v>
      </c>
      <c r="AB86" s="37"/>
      <c r="AC86" s="1" t="s">
        <v>143</v>
      </c>
      <c r="AE86" s="36"/>
      <c r="AF86" s="39">
        <f t="shared" si="1"/>
        <v>0</v>
      </c>
    </row>
    <row r="87" spans="1:33" ht="15.75" thickBot="1" x14ac:dyDescent="0.3">
      <c r="C87" s="1" t="s">
        <v>143</v>
      </c>
      <c r="E87" s="1" t="s">
        <v>143</v>
      </c>
      <c r="H87" s="1" t="s">
        <v>143</v>
      </c>
      <c r="K87" s="1" t="s">
        <v>143</v>
      </c>
      <c r="M87" s="47"/>
      <c r="O87" s="1" t="s">
        <v>143</v>
      </c>
      <c r="P87" s="48"/>
      <c r="R87" s="1" t="s">
        <v>143</v>
      </c>
      <c r="T87" s="1" t="s">
        <v>143</v>
      </c>
      <c r="V87" s="36"/>
      <c r="W87" s="1" t="s">
        <v>143</v>
      </c>
      <c r="X87" s="37"/>
      <c r="Z87" s="1" t="s">
        <v>143</v>
      </c>
      <c r="AB87" s="47"/>
      <c r="AD87" s="1" t="s">
        <v>143</v>
      </c>
      <c r="AE87" s="48"/>
      <c r="AF87" s="39">
        <f t="shared" si="1"/>
        <v>0</v>
      </c>
    </row>
    <row r="88" spans="1:33" ht="15.75" thickBot="1" x14ac:dyDescent="0.3">
      <c r="C88" s="1" t="s">
        <v>143</v>
      </c>
      <c r="E88" s="1" t="s">
        <v>143</v>
      </c>
      <c r="H88" s="1" t="s">
        <v>143</v>
      </c>
      <c r="K88" s="1" t="s">
        <v>143</v>
      </c>
      <c r="M88" s="1"/>
      <c r="P88" s="34" t="s">
        <v>143</v>
      </c>
      <c r="R88" s="1" t="s">
        <v>143</v>
      </c>
      <c r="T88" s="1" t="s">
        <v>143</v>
      </c>
      <c r="V88" s="36"/>
      <c r="W88" s="1" t="s">
        <v>143</v>
      </c>
      <c r="X88" s="37"/>
      <c r="Z88" s="1" t="s">
        <v>143</v>
      </c>
      <c r="AE88" s="34" t="s">
        <v>143</v>
      </c>
      <c r="AF88" s="39">
        <f t="shared" si="1"/>
        <v>0</v>
      </c>
    </row>
    <row r="89" spans="1:33" ht="15.75" thickBot="1" x14ac:dyDescent="0.3">
      <c r="C89" s="1" t="s">
        <v>143</v>
      </c>
      <c r="E89" s="1" t="s">
        <v>143</v>
      </c>
      <c r="H89" s="1" t="s">
        <v>143</v>
      </c>
      <c r="L89" s="1" t="s">
        <v>143</v>
      </c>
      <c r="M89" s="1"/>
      <c r="N89" s="1" t="s">
        <v>143</v>
      </c>
      <c r="P89" s="34"/>
      <c r="R89" s="1" t="s">
        <v>143</v>
      </c>
      <c r="T89" s="1" t="s">
        <v>143</v>
      </c>
      <c r="V89" s="36"/>
      <c r="W89" s="1" t="s">
        <v>143</v>
      </c>
      <c r="X89" s="37"/>
      <c r="AA89" s="1" t="s">
        <v>143</v>
      </c>
      <c r="AC89" s="1" t="s">
        <v>143</v>
      </c>
      <c r="AE89" s="34"/>
      <c r="AF89" s="39">
        <f t="shared" si="1"/>
        <v>0</v>
      </c>
    </row>
    <row r="90" spans="1:33" ht="15.75" thickBot="1" x14ac:dyDescent="0.3">
      <c r="C90" s="1" t="s">
        <v>143</v>
      </c>
      <c r="E90" s="1" t="s">
        <v>143</v>
      </c>
      <c r="H90" s="1" t="s">
        <v>143</v>
      </c>
      <c r="L90" s="1" t="s">
        <v>143</v>
      </c>
      <c r="M90" s="1"/>
      <c r="O90" s="1" t="s">
        <v>143</v>
      </c>
      <c r="P90" s="34"/>
      <c r="R90" s="1" t="s">
        <v>143</v>
      </c>
      <c r="T90" s="1" t="s">
        <v>143</v>
      </c>
      <c r="V90" s="36"/>
      <c r="W90" s="1" t="s">
        <v>143</v>
      </c>
      <c r="X90" s="37"/>
      <c r="AA90" s="1" t="s">
        <v>143</v>
      </c>
      <c r="AD90" s="1" t="s">
        <v>143</v>
      </c>
      <c r="AE90" s="34"/>
      <c r="AF90" s="39">
        <f t="shared" si="1"/>
        <v>0</v>
      </c>
    </row>
    <row r="91" spans="1:33" ht="15.75" thickBot="1" x14ac:dyDescent="0.3">
      <c r="C91" s="1" t="s">
        <v>143</v>
      </c>
      <c r="E91" s="1" t="s">
        <v>143</v>
      </c>
      <c r="H91" s="1" t="s">
        <v>143</v>
      </c>
      <c r="L91" s="1" t="s">
        <v>143</v>
      </c>
      <c r="M91" s="1"/>
      <c r="P91" s="34" t="s">
        <v>143</v>
      </c>
      <c r="R91" s="1" t="s">
        <v>143</v>
      </c>
      <c r="T91" s="1" t="s">
        <v>143</v>
      </c>
      <c r="V91" s="36"/>
      <c r="W91" s="1" t="s">
        <v>143</v>
      </c>
      <c r="X91" s="37"/>
      <c r="AA91" s="1" t="s">
        <v>143</v>
      </c>
      <c r="AE91" s="34" t="s">
        <v>143</v>
      </c>
      <c r="AF91" s="39">
        <f t="shared" si="1"/>
        <v>0</v>
      </c>
    </row>
    <row r="92" spans="1:33" ht="15.75" thickBot="1" x14ac:dyDescent="0.3">
      <c r="C92" s="1" t="s">
        <v>143</v>
      </c>
      <c r="E92" s="1" t="s">
        <v>143</v>
      </c>
      <c r="H92" s="1" t="s">
        <v>143</v>
      </c>
      <c r="M92" s="1" t="s">
        <v>143</v>
      </c>
      <c r="N92" s="1" t="s">
        <v>143</v>
      </c>
      <c r="P92" s="34"/>
      <c r="R92" s="1" t="s">
        <v>143</v>
      </c>
      <c r="T92" s="1" t="s">
        <v>143</v>
      </c>
      <c r="V92" s="36"/>
      <c r="W92" s="1" t="s">
        <v>143</v>
      </c>
      <c r="X92" s="37"/>
      <c r="AB92" s="1" t="s">
        <v>143</v>
      </c>
      <c r="AC92" s="1" t="s">
        <v>143</v>
      </c>
      <c r="AE92" s="34"/>
      <c r="AF92" s="39">
        <f t="shared" si="1"/>
        <v>0</v>
      </c>
    </row>
    <row r="93" spans="1:33" ht="15.75" thickBot="1" x14ac:dyDescent="0.3">
      <c r="C93" s="1" t="s">
        <v>143</v>
      </c>
      <c r="E93" s="1" t="s">
        <v>143</v>
      </c>
      <c r="H93" s="1" t="s">
        <v>143</v>
      </c>
      <c r="M93" s="1" t="s">
        <v>143</v>
      </c>
      <c r="O93" s="1" t="s">
        <v>143</v>
      </c>
      <c r="P93" s="34"/>
      <c r="R93" s="1" t="s">
        <v>143</v>
      </c>
      <c r="T93" s="1" t="s">
        <v>143</v>
      </c>
      <c r="V93" s="36"/>
      <c r="W93" s="1" t="s">
        <v>143</v>
      </c>
      <c r="X93" s="37"/>
      <c r="AB93" s="1" t="s">
        <v>143</v>
      </c>
      <c r="AD93" s="1" t="s">
        <v>143</v>
      </c>
      <c r="AE93" s="34"/>
      <c r="AF93" s="39">
        <f t="shared" si="1"/>
        <v>0</v>
      </c>
    </row>
    <row r="94" spans="1:33" ht="15.75" thickBot="1" x14ac:dyDescent="0.3">
      <c r="C94" s="1" t="s">
        <v>143</v>
      </c>
      <c r="E94" s="1" t="s">
        <v>143</v>
      </c>
      <c r="H94" s="1" t="s">
        <v>143</v>
      </c>
      <c r="M94" s="1" t="s">
        <v>143</v>
      </c>
      <c r="P94" s="34" t="s">
        <v>143</v>
      </c>
      <c r="R94" s="1" t="s">
        <v>143</v>
      </c>
      <c r="T94" s="1" t="s">
        <v>143</v>
      </c>
      <c r="V94" s="36"/>
      <c r="W94" s="1" t="s">
        <v>143</v>
      </c>
      <c r="X94" s="37"/>
      <c r="AB94" s="1" t="s">
        <v>143</v>
      </c>
      <c r="AE94" s="34" t="s">
        <v>143</v>
      </c>
      <c r="AF94" s="39">
        <f t="shared" si="1"/>
        <v>0</v>
      </c>
    </row>
    <row r="95" spans="1:33" ht="15.75" thickBot="1" x14ac:dyDescent="0.3">
      <c r="C95" s="1" t="s">
        <v>143</v>
      </c>
      <c r="E95" s="1" t="s">
        <v>143</v>
      </c>
      <c r="I95" s="1" t="s">
        <v>143</v>
      </c>
      <c r="K95" s="1" t="s">
        <v>143</v>
      </c>
      <c r="N95" s="1" t="s">
        <v>143</v>
      </c>
      <c r="R95" s="1" t="s">
        <v>143</v>
      </c>
      <c r="T95" s="1" t="s">
        <v>143</v>
      </c>
      <c r="V95" s="36"/>
      <c r="X95" s="1" t="s">
        <v>143</v>
      </c>
      <c r="Z95" s="1" t="s">
        <v>143</v>
      </c>
      <c r="AB95" s="37"/>
      <c r="AC95" s="1" t="s">
        <v>143</v>
      </c>
      <c r="AE95" s="36"/>
      <c r="AF95" s="39">
        <f t="shared" si="1"/>
        <v>0</v>
      </c>
    </row>
    <row r="96" spans="1:33" ht="15.75" thickBot="1" x14ac:dyDescent="0.3">
      <c r="C96" s="1" t="s">
        <v>143</v>
      </c>
      <c r="E96" s="1" t="s">
        <v>143</v>
      </c>
      <c r="I96" s="1" t="s">
        <v>143</v>
      </c>
      <c r="K96" s="1" t="s">
        <v>143</v>
      </c>
      <c r="M96" s="47"/>
      <c r="O96" s="1" t="s">
        <v>143</v>
      </c>
      <c r="P96" s="48"/>
      <c r="R96" s="1" t="s">
        <v>143</v>
      </c>
      <c r="T96" s="1" t="s">
        <v>143</v>
      </c>
      <c r="V96" s="36"/>
      <c r="X96" s="1" t="s">
        <v>143</v>
      </c>
      <c r="Z96" s="1" t="s">
        <v>143</v>
      </c>
      <c r="AB96" s="47"/>
      <c r="AD96" s="1" t="s">
        <v>143</v>
      </c>
      <c r="AE96" s="48"/>
      <c r="AF96" s="39">
        <f t="shared" si="1"/>
        <v>0</v>
      </c>
    </row>
    <row r="97" spans="3:32" ht="15.75" thickBot="1" x14ac:dyDescent="0.3">
      <c r="C97" s="1" t="s">
        <v>143</v>
      </c>
      <c r="E97" s="1" t="s">
        <v>143</v>
      </c>
      <c r="I97" s="1" t="s">
        <v>143</v>
      </c>
      <c r="K97" s="1" t="s">
        <v>143</v>
      </c>
      <c r="M97" s="1"/>
      <c r="P97" s="34" t="s">
        <v>143</v>
      </c>
      <c r="R97" s="1" t="s">
        <v>143</v>
      </c>
      <c r="T97" s="1" t="s">
        <v>143</v>
      </c>
      <c r="V97" s="36"/>
      <c r="X97" s="1" t="s">
        <v>143</v>
      </c>
      <c r="Z97" s="1" t="s">
        <v>143</v>
      </c>
      <c r="AE97" s="34" t="s">
        <v>143</v>
      </c>
      <c r="AF97" s="39">
        <f t="shared" si="1"/>
        <v>0</v>
      </c>
    </row>
    <row r="98" spans="3:32" ht="15.75" thickBot="1" x14ac:dyDescent="0.3">
      <c r="C98" s="1" t="s">
        <v>143</v>
      </c>
      <c r="E98" s="1" t="s">
        <v>143</v>
      </c>
      <c r="I98" s="1" t="s">
        <v>143</v>
      </c>
      <c r="L98" s="1" t="s">
        <v>143</v>
      </c>
      <c r="M98" s="1"/>
      <c r="N98" s="1" t="s">
        <v>143</v>
      </c>
      <c r="P98" s="34"/>
      <c r="R98" s="1" t="s">
        <v>143</v>
      </c>
      <c r="T98" s="1" t="s">
        <v>143</v>
      </c>
      <c r="V98" s="36"/>
      <c r="X98" s="1" t="s">
        <v>143</v>
      </c>
      <c r="AA98" s="1" t="s">
        <v>143</v>
      </c>
      <c r="AC98" s="1" t="s">
        <v>143</v>
      </c>
      <c r="AE98" s="34"/>
      <c r="AF98" s="39">
        <f t="shared" si="1"/>
        <v>0</v>
      </c>
    </row>
    <row r="99" spans="3:32" ht="15.75" thickBot="1" x14ac:dyDescent="0.3">
      <c r="C99" s="1" t="s">
        <v>143</v>
      </c>
      <c r="E99" s="1" t="s">
        <v>143</v>
      </c>
      <c r="I99" s="1" t="s">
        <v>143</v>
      </c>
      <c r="L99" s="1" t="s">
        <v>143</v>
      </c>
      <c r="M99" s="1"/>
      <c r="O99" s="1" t="s">
        <v>143</v>
      </c>
      <c r="P99" s="34"/>
      <c r="R99" s="1" t="s">
        <v>143</v>
      </c>
      <c r="T99" s="1" t="s">
        <v>143</v>
      </c>
      <c r="V99" s="36"/>
      <c r="X99" s="1" t="s">
        <v>143</v>
      </c>
      <c r="AA99" s="1" t="s">
        <v>143</v>
      </c>
      <c r="AD99" s="1" t="s">
        <v>143</v>
      </c>
      <c r="AE99" s="34"/>
      <c r="AF99" s="39">
        <f t="shared" si="1"/>
        <v>0</v>
      </c>
    </row>
    <row r="100" spans="3:32" ht="15.75" thickBot="1" x14ac:dyDescent="0.3">
      <c r="C100" s="1" t="s">
        <v>143</v>
      </c>
      <c r="E100" s="1" t="s">
        <v>143</v>
      </c>
      <c r="I100" s="1" t="s">
        <v>143</v>
      </c>
      <c r="L100" s="1" t="s">
        <v>143</v>
      </c>
      <c r="M100" s="1"/>
      <c r="P100" s="34" t="s">
        <v>143</v>
      </c>
      <c r="R100" s="1" t="s">
        <v>143</v>
      </c>
      <c r="T100" s="1" t="s">
        <v>143</v>
      </c>
      <c r="V100" s="36"/>
      <c r="X100" s="1" t="s">
        <v>143</v>
      </c>
      <c r="AA100" s="1" t="s">
        <v>143</v>
      </c>
      <c r="AE100" s="34" t="s">
        <v>143</v>
      </c>
      <c r="AF100" s="39">
        <f t="shared" si="1"/>
        <v>0</v>
      </c>
    </row>
    <row r="101" spans="3:32" ht="15.75" thickBot="1" x14ac:dyDescent="0.3">
      <c r="C101" s="1" t="s">
        <v>143</v>
      </c>
      <c r="E101" s="1" t="s">
        <v>143</v>
      </c>
      <c r="I101" s="1" t="s">
        <v>143</v>
      </c>
      <c r="M101" s="1" t="s">
        <v>143</v>
      </c>
      <c r="N101" s="1" t="s">
        <v>143</v>
      </c>
      <c r="P101" s="34"/>
      <c r="R101" s="1" t="s">
        <v>143</v>
      </c>
      <c r="T101" s="1" t="s">
        <v>143</v>
      </c>
      <c r="V101" s="36"/>
      <c r="X101" s="1" t="s">
        <v>143</v>
      </c>
      <c r="AB101" s="1" t="s">
        <v>143</v>
      </c>
      <c r="AC101" s="1" t="s">
        <v>143</v>
      </c>
      <c r="AE101" s="34"/>
      <c r="AF101" s="39">
        <f t="shared" si="1"/>
        <v>0</v>
      </c>
    </row>
    <row r="102" spans="3:32" ht="15.75" thickBot="1" x14ac:dyDescent="0.3">
      <c r="C102" s="1" t="s">
        <v>143</v>
      </c>
      <c r="E102" s="1" t="s">
        <v>143</v>
      </c>
      <c r="I102" s="1" t="s">
        <v>143</v>
      </c>
      <c r="M102" s="1" t="s">
        <v>143</v>
      </c>
      <c r="O102" s="1" t="s">
        <v>143</v>
      </c>
      <c r="P102" s="34"/>
      <c r="R102" s="1" t="s">
        <v>143</v>
      </c>
      <c r="T102" s="1" t="s">
        <v>143</v>
      </c>
      <c r="V102" s="36"/>
      <c r="X102" s="1" t="s">
        <v>143</v>
      </c>
      <c r="AB102" s="1" t="s">
        <v>143</v>
      </c>
      <c r="AD102" s="1" t="s">
        <v>143</v>
      </c>
      <c r="AE102" s="34"/>
      <c r="AF102" s="39">
        <f t="shared" si="1"/>
        <v>0</v>
      </c>
    </row>
    <row r="103" spans="3:32" ht="15.75" thickBot="1" x14ac:dyDescent="0.3">
      <c r="C103" s="1" t="s">
        <v>143</v>
      </c>
      <c r="E103" s="1" t="s">
        <v>143</v>
      </c>
      <c r="I103" s="1" t="s">
        <v>143</v>
      </c>
      <c r="M103" s="1" t="s">
        <v>143</v>
      </c>
      <c r="P103" s="34" t="s">
        <v>143</v>
      </c>
      <c r="R103" s="1" t="s">
        <v>143</v>
      </c>
      <c r="T103" s="1" t="s">
        <v>143</v>
      </c>
      <c r="V103" s="36"/>
      <c r="X103" s="1" t="s">
        <v>143</v>
      </c>
      <c r="AB103" s="1" t="s">
        <v>143</v>
      </c>
      <c r="AE103" s="34" t="s">
        <v>143</v>
      </c>
      <c r="AF103" s="39">
        <f t="shared" si="1"/>
        <v>0</v>
      </c>
    </row>
    <row r="104" spans="3:32" ht="15.75" thickBot="1" x14ac:dyDescent="0.3">
      <c r="C104" s="1" t="s">
        <v>143</v>
      </c>
      <c r="E104" s="1" t="s">
        <v>143</v>
      </c>
      <c r="J104" s="1" t="s">
        <v>143</v>
      </c>
      <c r="K104" s="1" t="s">
        <v>143</v>
      </c>
      <c r="N104" s="1" t="s">
        <v>143</v>
      </c>
      <c r="R104" s="1" t="s">
        <v>143</v>
      </c>
      <c r="T104" s="1" t="s">
        <v>143</v>
      </c>
      <c r="V104" s="36"/>
      <c r="X104" s="37"/>
      <c r="Y104" s="1" t="s">
        <v>143</v>
      </c>
      <c r="Z104" s="1" t="s">
        <v>143</v>
      </c>
      <c r="AB104" s="37"/>
      <c r="AC104" s="1" t="s">
        <v>143</v>
      </c>
      <c r="AE104" s="36"/>
      <c r="AF104" s="39">
        <f t="shared" si="1"/>
        <v>0</v>
      </c>
    </row>
    <row r="105" spans="3:32" ht="15.75" thickBot="1" x14ac:dyDescent="0.3">
      <c r="C105" s="1" t="s">
        <v>143</v>
      </c>
      <c r="E105" s="1" t="s">
        <v>143</v>
      </c>
      <c r="J105" s="1" t="s">
        <v>143</v>
      </c>
      <c r="K105" s="1" t="s">
        <v>143</v>
      </c>
      <c r="M105" s="47"/>
      <c r="O105" s="1" t="s">
        <v>143</v>
      </c>
      <c r="P105" s="48"/>
      <c r="R105" s="1" t="s">
        <v>143</v>
      </c>
      <c r="T105" s="1" t="s">
        <v>143</v>
      </c>
      <c r="V105" s="36"/>
      <c r="X105" s="37"/>
      <c r="Y105" s="1" t="s">
        <v>143</v>
      </c>
      <c r="Z105" s="1" t="s">
        <v>143</v>
      </c>
      <c r="AB105" s="47"/>
      <c r="AD105" s="1" t="s">
        <v>143</v>
      </c>
      <c r="AE105" s="48"/>
      <c r="AF105" s="39">
        <f t="shared" si="1"/>
        <v>0</v>
      </c>
    </row>
    <row r="106" spans="3:32" ht="15.75" thickBot="1" x14ac:dyDescent="0.3">
      <c r="C106" s="1" t="s">
        <v>143</v>
      </c>
      <c r="E106" s="1" t="s">
        <v>143</v>
      </c>
      <c r="J106" s="1" t="s">
        <v>143</v>
      </c>
      <c r="K106" s="1" t="s">
        <v>143</v>
      </c>
      <c r="M106" s="1"/>
      <c r="P106" s="34" t="s">
        <v>143</v>
      </c>
      <c r="R106" s="1" t="s">
        <v>143</v>
      </c>
      <c r="T106" s="1" t="s">
        <v>143</v>
      </c>
      <c r="V106" s="36"/>
      <c r="X106" s="37"/>
      <c r="Y106" s="1" t="s">
        <v>143</v>
      </c>
      <c r="Z106" s="1" t="s">
        <v>143</v>
      </c>
      <c r="AE106" s="34" t="s">
        <v>143</v>
      </c>
      <c r="AF106" s="39">
        <f t="shared" si="1"/>
        <v>0</v>
      </c>
    </row>
    <row r="107" spans="3:32" ht="15.75" thickBot="1" x14ac:dyDescent="0.3">
      <c r="C107" s="1" t="s">
        <v>143</v>
      </c>
      <c r="E107" s="1" t="s">
        <v>143</v>
      </c>
      <c r="J107" s="1" t="s">
        <v>143</v>
      </c>
      <c r="L107" s="1" t="s">
        <v>143</v>
      </c>
      <c r="M107" s="1"/>
      <c r="N107" s="1" t="s">
        <v>143</v>
      </c>
      <c r="P107" s="34"/>
      <c r="R107" s="1" t="s">
        <v>143</v>
      </c>
      <c r="T107" s="1" t="s">
        <v>143</v>
      </c>
      <c r="V107" s="36"/>
      <c r="X107" s="37"/>
      <c r="Y107" s="1" t="s">
        <v>143</v>
      </c>
      <c r="AA107" s="1" t="s">
        <v>143</v>
      </c>
      <c r="AC107" s="1" t="s">
        <v>143</v>
      </c>
      <c r="AE107" s="34"/>
      <c r="AF107" s="39">
        <f t="shared" si="1"/>
        <v>0</v>
      </c>
    </row>
    <row r="108" spans="3:32" ht="15.75" thickBot="1" x14ac:dyDescent="0.3">
      <c r="C108" s="1" t="s">
        <v>143</v>
      </c>
      <c r="E108" s="1" t="s">
        <v>143</v>
      </c>
      <c r="J108" s="1" t="s">
        <v>143</v>
      </c>
      <c r="L108" s="1" t="s">
        <v>143</v>
      </c>
      <c r="M108" s="1"/>
      <c r="O108" s="1" t="s">
        <v>143</v>
      </c>
      <c r="P108" s="34"/>
      <c r="R108" s="1" t="s">
        <v>143</v>
      </c>
      <c r="T108" s="1" t="s">
        <v>143</v>
      </c>
      <c r="V108" s="36"/>
      <c r="X108" s="37"/>
      <c r="Y108" s="1" t="s">
        <v>143</v>
      </c>
      <c r="AA108" s="1" t="s">
        <v>143</v>
      </c>
      <c r="AD108" s="1" t="s">
        <v>143</v>
      </c>
      <c r="AE108" s="34"/>
      <c r="AF108" s="39">
        <f t="shared" si="1"/>
        <v>0</v>
      </c>
    </row>
    <row r="109" spans="3:32" ht="15.75" thickBot="1" x14ac:dyDescent="0.3">
      <c r="C109" s="1" t="s">
        <v>143</v>
      </c>
      <c r="E109" s="1" t="s">
        <v>143</v>
      </c>
      <c r="J109" s="1" t="s">
        <v>143</v>
      </c>
      <c r="L109" s="1" t="s">
        <v>143</v>
      </c>
      <c r="M109" s="1"/>
      <c r="P109" s="34" t="s">
        <v>143</v>
      </c>
      <c r="R109" s="1" t="s">
        <v>143</v>
      </c>
      <c r="T109" s="1" t="s">
        <v>143</v>
      </c>
      <c r="V109" s="36"/>
      <c r="X109" s="37"/>
      <c r="Y109" s="1" t="s">
        <v>143</v>
      </c>
      <c r="AA109" s="1" t="s">
        <v>143</v>
      </c>
      <c r="AE109" s="34" t="s">
        <v>143</v>
      </c>
      <c r="AF109" s="39">
        <f t="shared" si="1"/>
        <v>0</v>
      </c>
    </row>
    <row r="110" spans="3:32" ht="15.75" thickBot="1" x14ac:dyDescent="0.3">
      <c r="C110" s="1" t="s">
        <v>143</v>
      </c>
      <c r="E110" s="1" t="s">
        <v>143</v>
      </c>
      <c r="J110" s="1" t="s">
        <v>143</v>
      </c>
      <c r="M110" s="1" t="s">
        <v>143</v>
      </c>
      <c r="N110" s="1" t="s">
        <v>143</v>
      </c>
      <c r="P110" s="34"/>
      <c r="R110" s="1" t="s">
        <v>143</v>
      </c>
      <c r="T110" s="1" t="s">
        <v>143</v>
      </c>
      <c r="V110" s="36"/>
      <c r="X110" s="37"/>
      <c r="Y110" s="1" t="s">
        <v>143</v>
      </c>
      <c r="AB110" s="1" t="s">
        <v>143</v>
      </c>
      <c r="AC110" s="1" t="s">
        <v>143</v>
      </c>
      <c r="AE110" s="34"/>
      <c r="AF110" s="39">
        <f t="shared" si="1"/>
        <v>0</v>
      </c>
    </row>
    <row r="111" spans="3:32" ht="15.75" thickBot="1" x14ac:dyDescent="0.3">
      <c r="C111" s="1" t="s">
        <v>143</v>
      </c>
      <c r="E111" s="1" t="s">
        <v>143</v>
      </c>
      <c r="J111" s="1" t="s">
        <v>143</v>
      </c>
      <c r="M111" s="1" t="s">
        <v>143</v>
      </c>
      <c r="O111" s="1" t="s">
        <v>143</v>
      </c>
      <c r="P111" s="34"/>
      <c r="R111" s="1" t="s">
        <v>143</v>
      </c>
      <c r="T111" s="1" t="s">
        <v>143</v>
      </c>
      <c r="V111" s="36"/>
      <c r="X111" s="37"/>
      <c r="Y111" s="1" t="s">
        <v>143</v>
      </c>
      <c r="AB111" s="1" t="s">
        <v>143</v>
      </c>
      <c r="AD111" s="1" t="s">
        <v>143</v>
      </c>
      <c r="AE111" s="34"/>
      <c r="AF111" s="39">
        <f t="shared" si="1"/>
        <v>0</v>
      </c>
    </row>
    <row r="112" spans="3:32" ht="15.75" thickBot="1" x14ac:dyDescent="0.3">
      <c r="C112" s="1" t="s">
        <v>143</v>
      </c>
      <c r="E112" s="1" t="s">
        <v>143</v>
      </c>
      <c r="J112" s="1" t="s">
        <v>143</v>
      </c>
      <c r="M112" s="1" t="s">
        <v>143</v>
      </c>
      <c r="P112" s="34" t="s">
        <v>143</v>
      </c>
      <c r="R112" s="1" t="s">
        <v>143</v>
      </c>
      <c r="T112" s="1" t="s">
        <v>143</v>
      </c>
      <c r="V112" s="36"/>
      <c r="X112" s="37"/>
      <c r="Y112" s="1" t="s">
        <v>143</v>
      </c>
      <c r="AB112" s="1" t="s">
        <v>143</v>
      </c>
      <c r="AE112" s="34" t="s">
        <v>143</v>
      </c>
      <c r="AF112" s="39">
        <f t="shared" si="1"/>
        <v>0</v>
      </c>
    </row>
    <row r="113" spans="3:32" ht="15.75" thickBot="1" x14ac:dyDescent="0.3">
      <c r="C113" s="1" t="s">
        <v>143</v>
      </c>
      <c r="F113" s="1" t="s">
        <v>143</v>
      </c>
      <c r="H113" s="1" t="s">
        <v>143</v>
      </c>
      <c r="K113" s="1" t="s">
        <v>143</v>
      </c>
      <c r="N113" s="1" t="s">
        <v>143</v>
      </c>
      <c r="R113" s="1" t="s">
        <v>143</v>
      </c>
      <c r="U113" s="1" t="s">
        <v>143</v>
      </c>
      <c r="V113" s="36"/>
      <c r="W113" s="1" t="s">
        <v>143</v>
      </c>
      <c r="X113" s="37"/>
      <c r="Z113" s="1" t="s">
        <v>143</v>
      </c>
      <c r="AB113" s="37"/>
      <c r="AC113" s="1" t="s">
        <v>143</v>
      </c>
      <c r="AE113" s="36"/>
      <c r="AF113" s="39">
        <f t="shared" si="1"/>
        <v>0</v>
      </c>
    </row>
    <row r="114" spans="3:32" ht="15.75" thickBot="1" x14ac:dyDescent="0.3">
      <c r="C114" s="1" t="s">
        <v>143</v>
      </c>
      <c r="F114" s="1" t="s">
        <v>143</v>
      </c>
      <c r="H114" s="1" t="s">
        <v>143</v>
      </c>
      <c r="K114" s="1" t="s">
        <v>143</v>
      </c>
      <c r="M114" s="47"/>
      <c r="O114" s="1" t="s">
        <v>143</v>
      </c>
      <c r="P114" s="48"/>
      <c r="R114" s="1" t="s">
        <v>143</v>
      </c>
      <c r="U114" s="1" t="s">
        <v>143</v>
      </c>
      <c r="V114" s="36"/>
      <c r="W114" s="1" t="s">
        <v>143</v>
      </c>
      <c r="X114" s="37"/>
      <c r="Z114" s="1" t="s">
        <v>143</v>
      </c>
      <c r="AB114" s="47"/>
      <c r="AD114" s="1" t="s">
        <v>143</v>
      </c>
      <c r="AE114" s="48"/>
      <c r="AF114" s="39">
        <f t="shared" si="1"/>
        <v>0</v>
      </c>
    </row>
    <row r="115" spans="3:32" ht="15.75" thickBot="1" x14ac:dyDescent="0.3">
      <c r="C115" s="1" t="s">
        <v>143</v>
      </c>
      <c r="F115" s="1" t="s">
        <v>143</v>
      </c>
      <c r="H115" s="1" t="s">
        <v>143</v>
      </c>
      <c r="K115" s="1" t="s">
        <v>143</v>
      </c>
      <c r="M115" s="1"/>
      <c r="P115" s="34" t="s">
        <v>143</v>
      </c>
      <c r="R115" s="1" t="s">
        <v>143</v>
      </c>
      <c r="U115" s="1" t="s">
        <v>143</v>
      </c>
      <c r="V115" s="36"/>
      <c r="W115" s="1" t="s">
        <v>143</v>
      </c>
      <c r="X115" s="37"/>
      <c r="Z115" s="1" t="s">
        <v>143</v>
      </c>
      <c r="AE115" s="34" t="s">
        <v>143</v>
      </c>
      <c r="AF115" s="39">
        <f t="shared" si="1"/>
        <v>0</v>
      </c>
    </row>
    <row r="116" spans="3:32" ht="15.75" thickBot="1" x14ac:dyDescent="0.3">
      <c r="C116" s="1" t="s">
        <v>143</v>
      </c>
      <c r="F116" s="1" t="s">
        <v>143</v>
      </c>
      <c r="H116" s="1" t="s">
        <v>143</v>
      </c>
      <c r="L116" s="1" t="s">
        <v>143</v>
      </c>
      <c r="M116" s="1"/>
      <c r="N116" s="1" t="s">
        <v>143</v>
      </c>
      <c r="P116" s="34"/>
      <c r="R116" s="1" t="s">
        <v>143</v>
      </c>
      <c r="U116" s="1" t="s">
        <v>143</v>
      </c>
      <c r="V116" s="36"/>
      <c r="W116" s="1" t="s">
        <v>143</v>
      </c>
      <c r="X116" s="37"/>
      <c r="AA116" s="1" t="s">
        <v>143</v>
      </c>
      <c r="AC116" s="1" t="s">
        <v>143</v>
      </c>
      <c r="AE116" s="34"/>
      <c r="AF116" s="39">
        <f t="shared" si="1"/>
        <v>0</v>
      </c>
    </row>
    <row r="117" spans="3:32" ht="15.75" thickBot="1" x14ac:dyDescent="0.3">
      <c r="C117" s="1" t="s">
        <v>143</v>
      </c>
      <c r="F117" s="1" t="s">
        <v>143</v>
      </c>
      <c r="H117" s="1" t="s">
        <v>143</v>
      </c>
      <c r="L117" s="1" t="s">
        <v>143</v>
      </c>
      <c r="M117" s="1"/>
      <c r="O117" s="1" t="s">
        <v>143</v>
      </c>
      <c r="P117" s="34"/>
      <c r="R117" s="1" t="s">
        <v>143</v>
      </c>
      <c r="U117" s="1" t="s">
        <v>143</v>
      </c>
      <c r="V117" s="36"/>
      <c r="W117" s="1" t="s">
        <v>143</v>
      </c>
      <c r="X117" s="37"/>
      <c r="AA117" s="1" t="s">
        <v>143</v>
      </c>
      <c r="AD117" s="1" t="s">
        <v>143</v>
      </c>
      <c r="AE117" s="34"/>
      <c r="AF117" s="39">
        <f t="shared" si="1"/>
        <v>0</v>
      </c>
    </row>
    <row r="118" spans="3:32" ht="15.75" thickBot="1" x14ac:dyDescent="0.3">
      <c r="C118" s="1" t="s">
        <v>143</v>
      </c>
      <c r="F118" s="1" t="s">
        <v>143</v>
      </c>
      <c r="H118" s="1" t="s">
        <v>143</v>
      </c>
      <c r="L118" s="1" t="s">
        <v>143</v>
      </c>
      <c r="M118" s="1"/>
      <c r="P118" s="34" t="s">
        <v>143</v>
      </c>
      <c r="R118" s="1" t="s">
        <v>143</v>
      </c>
      <c r="U118" s="1" t="s">
        <v>143</v>
      </c>
      <c r="V118" s="36"/>
      <c r="W118" s="1" t="s">
        <v>143</v>
      </c>
      <c r="X118" s="37"/>
      <c r="AA118" s="1" t="s">
        <v>143</v>
      </c>
      <c r="AE118" s="34" t="s">
        <v>143</v>
      </c>
      <c r="AF118" s="39">
        <f t="shared" si="1"/>
        <v>0</v>
      </c>
    </row>
    <row r="119" spans="3:32" ht="15.75" thickBot="1" x14ac:dyDescent="0.3">
      <c r="C119" s="1" t="s">
        <v>143</v>
      </c>
      <c r="F119" s="1" t="s">
        <v>143</v>
      </c>
      <c r="H119" s="1" t="s">
        <v>143</v>
      </c>
      <c r="M119" s="1" t="s">
        <v>143</v>
      </c>
      <c r="N119" s="1" t="s">
        <v>143</v>
      </c>
      <c r="P119" s="34"/>
      <c r="R119" s="1" t="s">
        <v>143</v>
      </c>
      <c r="U119" s="1" t="s">
        <v>143</v>
      </c>
      <c r="V119" s="36"/>
      <c r="W119" s="1" t="s">
        <v>143</v>
      </c>
      <c r="X119" s="37"/>
      <c r="AB119" s="1" t="s">
        <v>143</v>
      </c>
      <c r="AC119" s="1" t="s">
        <v>143</v>
      </c>
      <c r="AE119" s="34"/>
      <c r="AF119" s="39">
        <f t="shared" si="1"/>
        <v>0</v>
      </c>
    </row>
    <row r="120" spans="3:32" ht="15.75" thickBot="1" x14ac:dyDescent="0.3">
      <c r="C120" s="1" t="s">
        <v>143</v>
      </c>
      <c r="F120" s="1" t="s">
        <v>143</v>
      </c>
      <c r="H120" s="1" t="s">
        <v>143</v>
      </c>
      <c r="M120" s="1" t="s">
        <v>143</v>
      </c>
      <c r="O120" s="1" t="s">
        <v>143</v>
      </c>
      <c r="P120" s="34"/>
      <c r="R120" s="1" t="s">
        <v>143</v>
      </c>
      <c r="U120" s="1" t="s">
        <v>143</v>
      </c>
      <c r="V120" s="36"/>
      <c r="W120" s="1" t="s">
        <v>143</v>
      </c>
      <c r="X120" s="37"/>
      <c r="AB120" s="1" t="s">
        <v>143</v>
      </c>
      <c r="AD120" s="1" t="s">
        <v>143</v>
      </c>
      <c r="AE120" s="34"/>
      <c r="AF120" s="39">
        <f t="shared" si="1"/>
        <v>0</v>
      </c>
    </row>
    <row r="121" spans="3:32" ht="15.75" thickBot="1" x14ac:dyDescent="0.3">
      <c r="C121" s="1" t="s">
        <v>143</v>
      </c>
      <c r="F121" s="1" t="s">
        <v>143</v>
      </c>
      <c r="H121" s="1" t="s">
        <v>143</v>
      </c>
      <c r="M121" s="1" t="s">
        <v>143</v>
      </c>
      <c r="P121" s="34" t="s">
        <v>143</v>
      </c>
      <c r="R121" s="1" t="s">
        <v>143</v>
      </c>
      <c r="U121" s="1" t="s">
        <v>143</v>
      </c>
      <c r="V121" s="36"/>
      <c r="W121" s="1" t="s">
        <v>143</v>
      </c>
      <c r="X121" s="37"/>
      <c r="AB121" s="1" t="s">
        <v>143</v>
      </c>
      <c r="AE121" s="34" t="s">
        <v>143</v>
      </c>
      <c r="AF121" s="39">
        <f t="shared" si="1"/>
        <v>0</v>
      </c>
    </row>
    <row r="122" spans="3:32" ht="15.75" thickBot="1" x14ac:dyDescent="0.3">
      <c r="C122" s="1" t="s">
        <v>143</v>
      </c>
      <c r="F122" s="1" t="s">
        <v>143</v>
      </c>
      <c r="I122" s="1" t="s">
        <v>143</v>
      </c>
      <c r="K122" s="1" t="s">
        <v>143</v>
      </c>
      <c r="N122" s="1" t="s">
        <v>143</v>
      </c>
      <c r="R122" s="1" t="s">
        <v>143</v>
      </c>
      <c r="U122" s="1" t="s">
        <v>143</v>
      </c>
      <c r="V122" s="36"/>
      <c r="X122" s="1" t="s">
        <v>143</v>
      </c>
      <c r="Z122" s="1" t="s">
        <v>143</v>
      </c>
      <c r="AB122" s="37"/>
      <c r="AC122" s="1" t="s">
        <v>143</v>
      </c>
      <c r="AE122" s="36"/>
      <c r="AF122" s="39">
        <f t="shared" si="1"/>
        <v>0</v>
      </c>
    </row>
    <row r="123" spans="3:32" ht="15.75" thickBot="1" x14ac:dyDescent="0.3">
      <c r="C123" s="1" t="s">
        <v>143</v>
      </c>
      <c r="F123" s="1" t="s">
        <v>143</v>
      </c>
      <c r="I123" s="1" t="s">
        <v>143</v>
      </c>
      <c r="K123" s="1" t="s">
        <v>143</v>
      </c>
      <c r="M123" s="47"/>
      <c r="O123" s="1" t="s">
        <v>143</v>
      </c>
      <c r="P123" s="48"/>
      <c r="R123" s="1" t="s">
        <v>143</v>
      </c>
      <c r="U123" s="1" t="s">
        <v>143</v>
      </c>
      <c r="V123" s="36"/>
      <c r="X123" s="1" t="s">
        <v>143</v>
      </c>
      <c r="Z123" s="1" t="s">
        <v>143</v>
      </c>
      <c r="AB123" s="47"/>
      <c r="AD123" s="1" t="s">
        <v>143</v>
      </c>
      <c r="AE123" s="48"/>
      <c r="AF123" s="39">
        <f t="shared" si="1"/>
        <v>0</v>
      </c>
    </row>
    <row r="124" spans="3:32" ht="15.75" thickBot="1" x14ac:dyDescent="0.3">
      <c r="C124" s="1" t="s">
        <v>143</v>
      </c>
      <c r="F124" s="1" t="s">
        <v>143</v>
      </c>
      <c r="I124" s="1" t="s">
        <v>143</v>
      </c>
      <c r="K124" s="1" t="s">
        <v>143</v>
      </c>
      <c r="M124" s="1"/>
      <c r="P124" s="34" t="s">
        <v>143</v>
      </c>
      <c r="R124" s="1" t="s">
        <v>143</v>
      </c>
      <c r="U124" s="1" t="s">
        <v>143</v>
      </c>
      <c r="V124" s="36"/>
      <c r="X124" s="1" t="s">
        <v>143</v>
      </c>
      <c r="Z124" s="1" t="s">
        <v>143</v>
      </c>
      <c r="AE124" s="34" t="s">
        <v>143</v>
      </c>
      <c r="AF124" s="39">
        <f t="shared" si="1"/>
        <v>0</v>
      </c>
    </row>
    <row r="125" spans="3:32" ht="15.75" thickBot="1" x14ac:dyDescent="0.3">
      <c r="C125" s="1" t="s">
        <v>143</v>
      </c>
      <c r="F125" s="1" t="s">
        <v>143</v>
      </c>
      <c r="I125" s="1" t="s">
        <v>143</v>
      </c>
      <c r="L125" s="1" t="s">
        <v>143</v>
      </c>
      <c r="M125" s="1"/>
      <c r="N125" s="1" t="s">
        <v>143</v>
      </c>
      <c r="P125" s="34"/>
      <c r="R125" s="1" t="s">
        <v>143</v>
      </c>
      <c r="U125" s="1" t="s">
        <v>143</v>
      </c>
      <c r="V125" s="36"/>
      <c r="X125" s="1" t="s">
        <v>143</v>
      </c>
      <c r="AA125" s="1" t="s">
        <v>143</v>
      </c>
      <c r="AC125" s="1" t="s">
        <v>143</v>
      </c>
      <c r="AE125" s="34"/>
      <c r="AF125" s="39">
        <f t="shared" si="1"/>
        <v>0</v>
      </c>
    </row>
    <row r="126" spans="3:32" ht="15.75" thickBot="1" x14ac:dyDescent="0.3">
      <c r="C126" s="1" t="s">
        <v>143</v>
      </c>
      <c r="F126" s="1" t="s">
        <v>143</v>
      </c>
      <c r="I126" s="1" t="s">
        <v>143</v>
      </c>
      <c r="L126" s="1" t="s">
        <v>143</v>
      </c>
      <c r="M126" s="1"/>
      <c r="O126" s="1" t="s">
        <v>143</v>
      </c>
      <c r="P126" s="34"/>
      <c r="R126" s="1" t="s">
        <v>143</v>
      </c>
      <c r="U126" s="1" t="s">
        <v>143</v>
      </c>
      <c r="V126" s="36"/>
      <c r="X126" s="1" t="s">
        <v>143</v>
      </c>
      <c r="AA126" s="1" t="s">
        <v>143</v>
      </c>
      <c r="AD126" s="1" t="s">
        <v>143</v>
      </c>
      <c r="AE126" s="34"/>
      <c r="AF126" s="39">
        <f t="shared" si="1"/>
        <v>0</v>
      </c>
    </row>
    <row r="127" spans="3:32" ht="15.75" thickBot="1" x14ac:dyDescent="0.3">
      <c r="C127" s="1" t="s">
        <v>143</v>
      </c>
      <c r="F127" s="1" t="s">
        <v>143</v>
      </c>
      <c r="I127" s="1" t="s">
        <v>143</v>
      </c>
      <c r="L127" s="1" t="s">
        <v>143</v>
      </c>
      <c r="M127" s="1"/>
      <c r="P127" s="34" t="s">
        <v>143</v>
      </c>
      <c r="R127" s="1" t="s">
        <v>143</v>
      </c>
      <c r="U127" s="1" t="s">
        <v>143</v>
      </c>
      <c r="V127" s="36"/>
      <c r="X127" s="1" t="s">
        <v>143</v>
      </c>
      <c r="AA127" s="1" t="s">
        <v>143</v>
      </c>
      <c r="AE127" s="34" t="s">
        <v>143</v>
      </c>
      <c r="AF127" s="39">
        <f t="shared" si="1"/>
        <v>0</v>
      </c>
    </row>
    <row r="128" spans="3:32" ht="15.75" thickBot="1" x14ac:dyDescent="0.3">
      <c r="C128" s="1" t="s">
        <v>143</v>
      </c>
      <c r="F128" s="1" t="s">
        <v>143</v>
      </c>
      <c r="I128" s="1" t="s">
        <v>143</v>
      </c>
      <c r="M128" s="1" t="s">
        <v>143</v>
      </c>
      <c r="N128" s="1" t="s">
        <v>143</v>
      </c>
      <c r="P128" s="34"/>
      <c r="R128" s="1" t="s">
        <v>143</v>
      </c>
      <c r="U128" s="1" t="s">
        <v>143</v>
      </c>
      <c r="V128" s="36"/>
      <c r="X128" s="1" t="s">
        <v>143</v>
      </c>
      <c r="AB128" s="1" t="s">
        <v>143</v>
      </c>
      <c r="AC128" s="1" t="s">
        <v>143</v>
      </c>
      <c r="AE128" s="34"/>
      <c r="AF128" s="39">
        <f t="shared" si="1"/>
        <v>0</v>
      </c>
    </row>
    <row r="129" spans="3:32" ht="15.75" thickBot="1" x14ac:dyDescent="0.3">
      <c r="C129" s="1" t="s">
        <v>143</v>
      </c>
      <c r="F129" s="1" t="s">
        <v>143</v>
      </c>
      <c r="I129" s="1" t="s">
        <v>143</v>
      </c>
      <c r="M129" s="1" t="s">
        <v>143</v>
      </c>
      <c r="O129" s="1" t="s">
        <v>143</v>
      </c>
      <c r="P129" s="34"/>
      <c r="R129" s="1" t="s">
        <v>143</v>
      </c>
      <c r="U129" s="1" t="s">
        <v>143</v>
      </c>
      <c r="V129" s="36"/>
      <c r="X129" s="1" t="s">
        <v>143</v>
      </c>
      <c r="AB129" s="1" t="s">
        <v>143</v>
      </c>
      <c r="AD129" s="1" t="s">
        <v>143</v>
      </c>
      <c r="AE129" s="34"/>
      <c r="AF129" s="39">
        <f t="shared" si="1"/>
        <v>0</v>
      </c>
    </row>
    <row r="130" spans="3:32" ht="15.75" thickBot="1" x14ac:dyDescent="0.3">
      <c r="C130" s="1" t="s">
        <v>143</v>
      </c>
      <c r="F130" s="1" t="s">
        <v>143</v>
      </c>
      <c r="I130" s="1" t="s">
        <v>143</v>
      </c>
      <c r="M130" s="1" t="s">
        <v>143</v>
      </c>
      <c r="P130" s="34" t="s">
        <v>143</v>
      </c>
      <c r="R130" s="1" t="s">
        <v>143</v>
      </c>
      <c r="U130" s="1" t="s">
        <v>143</v>
      </c>
      <c r="V130" s="36"/>
      <c r="X130" s="1" t="s">
        <v>143</v>
      </c>
      <c r="AB130" s="1" t="s">
        <v>143</v>
      </c>
      <c r="AE130" s="34" t="s">
        <v>143</v>
      </c>
      <c r="AF130" s="39">
        <f t="shared" si="1"/>
        <v>0</v>
      </c>
    </row>
    <row r="131" spans="3:32" ht="15.75" thickBot="1" x14ac:dyDescent="0.3">
      <c r="C131" s="1" t="s">
        <v>143</v>
      </c>
      <c r="F131" s="1" t="s">
        <v>143</v>
      </c>
      <c r="J131" s="1" t="s">
        <v>143</v>
      </c>
      <c r="K131" s="1" t="s">
        <v>143</v>
      </c>
      <c r="N131" s="1" t="s">
        <v>143</v>
      </c>
      <c r="R131" s="1" t="s">
        <v>143</v>
      </c>
      <c r="U131" s="1" t="s">
        <v>143</v>
      </c>
      <c r="V131" s="36"/>
      <c r="X131" s="37"/>
      <c r="Y131" s="1" t="s">
        <v>143</v>
      </c>
      <c r="Z131" s="1" t="s">
        <v>143</v>
      </c>
      <c r="AB131" s="37"/>
      <c r="AC131" s="1" t="s">
        <v>143</v>
      </c>
      <c r="AE131" s="36"/>
      <c r="AF131" s="39">
        <f t="shared" si="1"/>
        <v>0</v>
      </c>
    </row>
    <row r="132" spans="3:32" ht="15.75" thickBot="1" x14ac:dyDescent="0.3">
      <c r="C132" s="1" t="s">
        <v>143</v>
      </c>
      <c r="F132" s="1" t="s">
        <v>143</v>
      </c>
      <c r="J132" s="1" t="s">
        <v>143</v>
      </c>
      <c r="K132" s="1" t="s">
        <v>143</v>
      </c>
      <c r="M132" s="47"/>
      <c r="O132" s="1" t="s">
        <v>143</v>
      </c>
      <c r="P132" s="48"/>
      <c r="R132" s="1" t="s">
        <v>143</v>
      </c>
      <c r="U132" s="1" t="s">
        <v>143</v>
      </c>
      <c r="V132" s="36"/>
      <c r="X132" s="37"/>
      <c r="Y132" s="1" t="s">
        <v>143</v>
      </c>
      <c r="Z132" s="1" t="s">
        <v>143</v>
      </c>
      <c r="AB132" s="47"/>
      <c r="AD132" s="1" t="s">
        <v>143</v>
      </c>
      <c r="AE132" s="48"/>
      <c r="AF132" s="39">
        <f t="shared" si="1"/>
        <v>0</v>
      </c>
    </row>
    <row r="133" spans="3:32" ht="15.75" thickBot="1" x14ac:dyDescent="0.3">
      <c r="C133" s="1" t="s">
        <v>143</v>
      </c>
      <c r="F133" s="1" t="s">
        <v>143</v>
      </c>
      <c r="J133" s="1" t="s">
        <v>143</v>
      </c>
      <c r="K133" s="1" t="s">
        <v>143</v>
      </c>
      <c r="M133" s="1"/>
      <c r="P133" s="34" t="s">
        <v>143</v>
      </c>
      <c r="R133" s="1" t="s">
        <v>143</v>
      </c>
      <c r="U133" s="1" t="s">
        <v>143</v>
      </c>
      <c r="V133" s="36"/>
      <c r="X133" s="37"/>
      <c r="Y133" s="1" t="s">
        <v>143</v>
      </c>
      <c r="Z133" s="1" t="s">
        <v>143</v>
      </c>
      <c r="AE133" s="34" t="s">
        <v>143</v>
      </c>
      <c r="AF133" s="39">
        <f t="shared" si="1"/>
        <v>0</v>
      </c>
    </row>
    <row r="134" spans="3:32" ht="15.75" thickBot="1" x14ac:dyDescent="0.3">
      <c r="C134" s="1" t="s">
        <v>143</v>
      </c>
      <c r="F134" s="1" t="s">
        <v>143</v>
      </c>
      <c r="J134" s="1" t="s">
        <v>143</v>
      </c>
      <c r="L134" s="1" t="s">
        <v>143</v>
      </c>
      <c r="M134" s="1"/>
      <c r="N134" s="1" t="s">
        <v>143</v>
      </c>
      <c r="P134" s="34"/>
      <c r="R134" s="1" t="s">
        <v>143</v>
      </c>
      <c r="U134" s="1" t="s">
        <v>143</v>
      </c>
      <c r="V134" s="36"/>
      <c r="X134" s="37"/>
      <c r="Y134" s="1" t="s">
        <v>143</v>
      </c>
      <c r="AA134" s="1" t="s">
        <v>143</v>
      </c>
      <c r="AC134" s="1" t="s">
        <v>143</v>
      </c>
      <c r="AE134" s="34"/>
      <c r="AF134" s="39">
        <f t="shared" ref="AF134:AF197" si="2">+AVERAGEIF(B134:AE134,"=X",$B$4:$AE$4)</f>
        <v>0</v>
      </c>
    </row>
    <row r="135" spans="3:32" ht="15.75" thickBot="1" x14ac:dyDescent="0.3">
      <c r="C135" s="1" t="s">
        <v>143</v>
      </c>
      <c r="F135" s="1" t="s">
        <v>143</v>
      </c>
      <c r="J135" s="1" t="s">
        <v>143</v>
      </c>
      <c r="L135" s="1" t="s">
        <v>143</v>
      </c>
      <c r="M135" s="1"/>
      <c r="O135" s="1" t="s">
        <v>143</v>
      </c>
      <c r="P135" s="34"/>
      <c r="R135" s="1" t="s">
        <v>143</v>
      </c>
      <c r="U135" s="1" t="s">
        <v>143</v>
      </c>
      <c r="V135" s="36"/>
      <c r="X135" s="37"/>
      <c r="Y135" s="1" t="s">
        <v>143</v>
      </c>
      <c r="AA135" s="1" t="s">
        <v>143</v>
      </c>
      <c r="AD135" s="1" t="s">
        <v>143</v>
      </c>
      <c r="AE135" s="34"/>
      <c r="AF135" s="39">
        <f t="shared" si="2"/>
        <v>0</v>
      </c>
    </row>
    <row r="136" spans="3:32" ht="15.75" thickBot="1" x14ac:dyDescent="0.3">
      <c r="C136" s="1" t="s">
        <v>143</v>
      </c>
      <c r="F136" s="1" t="s">
        <v>143</v>
      </c>
      <c r="J136" s="1" t="s">
        <v>143</v>
      </c>
      <c r="L136" s="1" t="s">
        <v>143</v>
      </c>
      <c r="M136" s="1"/>
      <c r="P136" s="34" t="s">
        <v>143</v>
      </c>
      <c r="R136" s="1" t="s">
        <v>143</v>
      </c>
      <c r="U136" s="1" t="s">
        <v>143</v>
      </c>
      <c r="V136" s="36"/>
      <c r="X136" s="37"/>
      <c r="Y136" s="1" t="s">
        <v>143</v>
      </c>
      <c r="AA136" s="1" t="s">
        <v>143</v>
      </c>
      <c r="AE136" s="34" t="s">
        <v>143</v>
      </c>
      <c r="AF136" s="39">
        <f t="shared" si="2"/>
        <v>0</v>
      </c>
    </row>
    <row r="137" spans="3:32" ht="15.75" thickBot="1" x14ac:dyDescent="0.3">
      <c r="C137" s="1" t="s">
        <v>143</v>
      </c>
      <c r="F137" s="1" t="s">
        <v>143</v>
      </c>
      <c r="J137" s="1" t="s">
        <v>143</v>
      </c>
      <c r="M137" s="1" t="s">
        <v>143</v>
      </c>
      <c r="N137" s="1" t="s">
        <v>143</v>
      </c>
      <c r="P137" s="34"/>
      <c r="R137" s="1" t="s">
        <v>143</v>
      </c>
      <c r="U137" s="1" t="s">
        <v>143</v>
      </c>
      <c r="V137" s="36"/>
      <c r="X137" s="37"/>
      <c r="Y137" s="1" t="s">
        <v>143</v>
      </c>
      <c r="AB137" s="1" t="s">
        <v>143</v>
      </c>
      <c r="AC137" s="1" t="s">
        <v>143</v>
      </c>
      <c r="AE137" s="34"/>
      <c r="AF137" s="39">
        <f t="shared" si="2"/>
        <v>0</v>
      </c>
    </row>
    <row r="138" spans="3:32" ht="15.75" thickBot="1" x14ac:dyDescent="0.3">
      <c r="C138" s="1" t="s">
        <v>143</v>
      </c>
      <c r="F138" s="1" t="s">
        <v>143</v>
      </c>
      <c r="J138" s="1" t="s">
        <v>143</v>
      </c>
      <c r="M138" s="1" t="s">
        <v>143</v>
      </c>
      <c r="O138" s="1" t="s">
        <v>143</v>
      </c>
      <c r="P138" s="34"/>
      <c r="R138" s="1" t="s">
        <v>143</v>
      </c>
      <c r="U138" s="1" t="s">
        <v>143</v>
      </c>
      <c r="V138" s="36"/>
      <c r="X138" s="37"/>
      <c r="Y138" s="1" t="s">
        <v>143</v>
      </c>
      <c r="AB138" s="1" t="s">
        <v>143</v>
      </c>
      <c r="AD138" s="1" t="s">
        <v>143</v>
      </c>
      <c r="AE138" s="34"/>
      <c r="AF138" s="39">
        <f t="shared" si="2"/>
        <v>0</v>
      </c>
    </row>
    <row r="139" spans="3:32" ht="15.75" thickBot="1" x14ac:dyDescent="0.3">
      <c r="C139" s="1" t="s">
        <v>143</v>
      </c>
      <c r="F139" s="1" t="s">
        <v>143</v>
      </c>
      <c r="J139" s="1" t="s">
        <v>143</v>
      </c>
      <c r="M139" s="1" t="s">
        <v>143</v>
      </c>
      <c r="P139" s="34" t="s">
        <v>143</v>
      </c>
      <c r="R139" s="1" t="s">
        <v>143</v>
      </c>
      <c r="U139" s="1" t="s">
        <v>143</v>
      </c>
      <c r="V139" s="36"/>
      <c r="X139" s="37"/>
      <c r="Y139" s="1" t="s">
        <v>143</v>
      </c>
      <c r="AB139" s="1" t="s">
        <v>143</v>
      </c>
      <c r="AE139" s="34" t="s">
        <v>143</v>
      </c>
      <c r="AF139" s="39">
        <f t="shared" si="2"/>
        <v>0</v>
      </c>
    </row>
    <row r="140" spans="3:32" ht="15.75" thickBot="1" x14ac:dyDescent="0.3">
      <c r="C140" s="1" t="s">
        <v>143</v>
      </c>
      <c r="G140" s="1" t="s">
        <v>143</v>
      </c>
      <c r="H140" s="1" t="s">
        <v>143</v>
      </c>
      <c r="K140" s="1" t="s">
        <v>143</v>
      </c>
      <c r="N140" s="1" t="s">
        <v>143</v>
      </c>
      <c r="R140" s="1" t="s">
        <v>143</v>
      </c>
      <c r="V140" s="1" t="s">
        <v>143</v>
      </c>
      <c r="W140" s="1" t="s">
        <v>143</v>
      </c>
      <c r="X140" s="37"/>
      <c r="Z140" s="1" t="s">
        <v>143</v>
      </c>
      <c r="AB140" s="37"/>
      <c r="AC140" s="1" t="s">
        <v>143</v>
      </c>
      <c r="AE140" s="36"/>
      <c r="AF140" s="39">
        <f t="shared" si="2"/>
        <v>0</v>
      </c>
    </row>
    <row r="141" spans="3:32" ht="15.75" thickBot="1" x14ac:dyDescent="0.3">
      <c r="C141" s="1" t="s">
        <v>143</v>
      </c>
      <c r="G141" s="1" t="s">
        <v>143</v>
      </c>
      <c r="H141" s="1" t="s">
        <v>143</v>
      </c>
      <c r="K141" s="1" t="s">
        <v>143</v>
      </c>
      <c r="M141" s="47"/>
      <c r="O141" s="1" t="s">
        <v>143</v>
      </c>
      <c r="P141" s="48"/>
      <c r="R141" s="1" t="s">
        <v>143</v>
      </c>
      <c r="V141" s="1" t="s">
        <v>143</v>
      </c>
      <c r="W141" s="1" t="s">
        <v>143</v>
      </c>
      <c r="X141" s="37"/>
      <c r="Z141" s="1" t="s">
        <v>143</v>
      </c>
      <c r="AB141" s="47"/>
      <c r="AD141" s="1" t="s">
        <v>143</v>
      </c>
      <c r="AE141" s="48"/>
      <c r="AF141" s="39">
        <f t="shared" si="2"/>
        <v>0</v>
      </c>
    </row>
    <row r="142" spans="3:32" ht="15.75" thickBot="1" x14ac:dyDescent="0.3">
      <c r="C142" s="1" t="s">
        <v>143</v>
      </c>
      <c r="G142" s="1" t="s">
        <v>143</v>
      </c>
      <c r="H142" s="1" t="s">
        <v>143</v>
      </c>
      <c r="K142" s="1" t="s">
        <v>143</v>
      </c>
      <c r="M142" s="1"/>
      <c r="P142" s="34" t="s">
        <v>143</v>
      </c>
      <c r="R142" s="1" t="s">
        <v>143</v>
      </c>
      <c r="V142" s="1" t="s">
        <v>143</v>
      </c>
      <c r="W142" s="1" t="s">
        <v>143</v>
      </c>
      <c r="X142" s="37"/>
      <c r="Z142" s="1" t="s">
        <v>143</v>
      </c>
      <c r="AE142" s="34" t="s">
        <v>143</v>
      </c>
      <c r="AF142" s="39">
        <f t="shared" si="2"/>
        <v>0</v>
      </c>
    </row>
    <row r="143" spans="3:32" ht="15.75" thickBot="1" x14ac:dyDescent="0.3">
      <c r="C143" s="1" t="s">
        <v>143</v>
      </c>
      <c r="G143" s="1" t="s">
        <v>143</v>
      </c>
      <c r="H143" s="1" t="s">
        <v>143</v>
      </c>
      <c r="L143" s="1" t="s">
        <v>143</v>
      </c>
      <c r="M143" s="1"/>
      <c r="N143" s="1" t="s">
        <v>143</v>
      </c>
      <c r="P143" s="34"/>
      <c r="R143" s="1" t="s">
        <v>143</v>
      </c>
      <c r="V143" s="1" t="s">
        <v>143</v>
      </c>
      <c r="W143" s="1" t="s">
        <v>143</v>
      </c>
      <c r="X143" s="37"/>
      <c r="AA143" s="1" t="s">
        <v>143</v>
      </c>
      <c r="AC143" s="1" t="s">
        <v>143</v>
      </c>
      <c r="AE143" s="34"/>
      <c r="AF143" s="39">
        <f t="shared" si="2"/>
        <v>0</v>
      </c>
    </row>
    <row r="144" spans="3:32" ht="15.75" thickBot="1" x14ac:dyDescent="0.3">
      <c r="C144" s="1" t="s">
        <v>143</v>
      </c>
      <c r="G144" s="1" t="s">
        <v>143</v>
      </c>
      <c r="H144" s="1" t="s">
        <v>143</v>
      </c>
      <c r="L144" s="1" t="s">
        <v>143</v>
      </c>
      <c r="M144" s="1"/>
      <c r="O144" s="1" t="s">
        <v>143</v>
      </c>
      <c r="P144" s="34"/>
      <c r="R144" s="1" t="s">
        <v>143</v>
      </c>
      <c r="V144" s="1" t="s">
        <v>143</v>
      </c>
      <c r="W144" s="1" t="s">
        <v>143</v>
      </c>
      <c r="X144" s="37"/>
      <c r="AA144" s="1" t="s">
        <v>143</v>
      </c>
      <c r="AD144" s="1" t="s">
        <v>143</v>
      </c>
      <c r="AE144" s="34"/>
      <c r="AF144" s="39">
        <f t="shared" si="2"/>
        <v>0</v>
      </c>
    </row>
    <row r="145" spans="3:32" ht="15.75" thickBot="1" x14ac:dyDescent="0.3">
      <c r="C145" s="1" t="s">
        <v>143</v>
      </c>
      <c r="G145" s="1" t="s">
        <v>143</v>
      </c>
      <c r="H145" s="1" t="s">
        <v>143</v>
      </c>
      <c r="L145" s="1" t="s">
        <v>143</v>
      </c>
      <c r="M145" s="1"/>
      <c r="P145" s="34" t="s">
        <v>143</v>
      </c>
      <c r="R145" s="1" t="s">
        <v>143</v>
      </c>
      <c r="V145" s="1" t="s">
        <v>143</v>
      </c>
      <c r="W145" s="1" t="s">
        <v>143</v>
      </c>
      <c r="X145" s="37"/>
      <c r="AA145" s="1" t="s">
        <v>143</v>
      </c>
      <c r="AE145" s="34" t="s">
        <v>143</v>
      </c>
      <c r="AF145" s="39">
        <f t="shared" si="2"/>
        <v>0</v>
      </c>
    </row>
    <row r="146" spans="3:32" ht="15.75" thickBot="1" x14ac:dyDescent="0.3">
      <c r="C146" s="1" t="s">
        <v>143</v>
      </c>
      <c r="G146" s="1" t="s">
        <v>143</v>
      </c>
      <c r="H146" s="1" t="s">
        <v>143</v>
      </c>
      <c r="M146" s="1" t="s">
        <v>143</v>
      </c>
      <c r="N146" s="1" t="s">
        <v>143</v>
      </c>
      <c r="P146" s="34"/>
      <c r="R146" s="1" t="s">
        <v>143</v>
      </c>
      <c r="V146" s="1" t="s">
        <v>143</v>
      </c>
      <c r="W146" s="1" t="s">
        <v>143</v>
      </c>
      <c r="X146" s="37"/>
      <c r="AB146" s="1" t="s">
        <v>143</v>
      </c>
      <c r="AC146" s="1" t="s">
        <v>143</v>
      </c>
      <c r="AE146" s="34"/>
      <c r="AF146" s="39">
        <f t="shared" si="2"/>
        <v>0</v>
      </c>
    </row>
    <row r="147" spans="3:32" ht="15.75" thickBot="1" x14ac:dyDescent="0.3">
      <c r="C147" s="1" t="s">
        <v>143</v>
      </c>
      <c r="G147" s="1" t="s">
        <v>143</v>
      </c>
      <c r="H147" s="1" t="s">
        <v>143</v>
      </c>
      <c r="M147" s="1" t="s">
        <v>143</v>
      </c>
      <c r="O147" s="1" t="s">
        <v>143</v>
      </c>
      <c r="P147" s="34"/>
      <c r="R147" s="1" t="s">
        <v>143</v>
      </c>
      <c r="V147" s="1" t="s">
        <v>143</v>
      </c>
      <c r="W147" s="1" t="s">
        <v>143</v>
      </c>
      <c r="X147" s="37"/>
      <c r="AB147" s="1" t="s">
        <v>143</v>
      </c>
      <c r="AD147" s="1" t="s">
        <v>143</v>
      </c>
      <c r="AE147" s="34"/>
      <c r="AF147" s="39">
        <f t="shared" si="2"/>
        <v>0</v>
      </c>
    </row>
    <row r="148" spans="3:32" ht="15.75" thickBot="1" x14ac:dyDescent="0.3">
      <c r="C148" s="1" t="s">
        <v>143</v>
      </c>
      <c r="G148" s="1" t="s">
        <v>143</v>
      </c>
      <c r="H148" s="1" t="s">
        <v>143</v>
      </c>
      <c r="M148" s="1" t="s">
        <v>143</v>
      </c>
      <c r="P148" s="34" t="s">
        <v>143</v>
      </c>
      <c r="R148" s="1" t="s">
        <v>143</v>
      </c>
      <c r="V148" s="1" t="s">
        <v>143</v>
      </c>
      <c r="W148" s="1" t="s">
        <v>143</v>
      </c>
      <c r="X148" s="37"/>
      <c r="AB148" s="1" t="s">
        <v>143</v>
      </c>
      <c r="AE148" s="34" t="s">
        <v>143</v>
      </c>
      <c r="AF148" s="39">
        <f t="shared" si="2"/>
        <v>0</v>
      </c>
    </row>
    <row r="149" spans="3:32" ht="15.75" thickBot="1" x14ac:dyDescent="0.3">
      <c r="C149" s="1" t="s">
        <v>143</v>
      </c>
      <c r="G149" s="1" t="s">
        <v>143</v>
      </c>
      <c r="I149" s="1" t="s">
        <v>143</v>
      </c>
      <c r="K149" s="1" t="s">
        <v>143</v>
      </c>
      <c r="N149" s="1" t="s">
        <v>143</v>
      </c>
      <c r="R149" s="1" t="s">
        <v>143</v>
      </c>
      <c r="V149" s="1" t="s">
        <v>143</v>
      </c>
      <c r="X149" s="1" t="s">
        <v>143</v>
      </c>
      <c r="Z149" s="1" t="s">
        <v>143</v>
      </c>
      <c r="AB149" s="37"/>
      <c r="AC149" s="1" t="s">
        <v>143</v>
      </c>
      <c r="AE149" s="36"/>
      <c r="AF149" s="39">
        <f t="shared" si="2"/>
        <v>0</v>
      </c>
    </row>
    <row r="150" spans="3:32" ht="15.75" thickBot="1" x14ac:dyDescent="0.3">
      <c r="C150" s="1" t="s">
        <v>143</v>
      </c>
      <c r="G150" s="1" t="s">
        <v>143</v>
      </c>
      <c r="I150" s="1" t="s">
        <v>143</v>
      </c>
      <c r="K150" s="1" t="s">
        <v>143</v>
      </c>
      <c r="M150" s="47"/>
      <c r="O150" s="1" t="s">
        <v>143</v>
      </c>
      <c r="P150" s="48"/>
      <c r="R150" s="1" t="s">
        <v>143</v>
      </c>
      <c r="V150" s="1" t="s">
        <v>143</v>
      </c>
      <c r="X150" s="1" t="s">
        <v>143</v>
      </c>
      <c r="Z150" s="1" t="s">
        <v>143</v>
      </c>
      <c r="AB150" s="47"/>
      <c r="AD150" s="1" t="s">
        <v>143</v>
      </c>
      <c r="AE150" s="48"/>
      <c r="AF150" s="39">
        <f t="shared" si="2"/>
        <v>0</v>
      </c>
    </row>
    <row r="151" spans="3:32" ht="15.75" thickBot="1" x14ac:dyDescent="0.3">
      <c r="C151" s="1" t="s">
        <v>143</v>
      </c>
      <c r="G151" s="1" t="s">
        <v>143</v>
      </c>
      <c r="I151" s="1" t="s">
        <v>143</v>
      </c>
      <c r="K151" s="1" t="s">
        <v>143</v>
      </c>
      <c r="M151" s="1"/>
      <c r="P151" s="34" t="s">
        <v>143</v>
      </c>
      <c r="R151" s="1" t="s">
        <v>143</v>
      </c>
      <c r="V151" s="1" t="s">
        <v>143</v>
      </c>
      <c r="X151" s="1" t="s">
        <v>143</v>
      </c>
      <c r="Z151" s="1" t="s">
        <v>143</v>
      </c>
      <c r="AE151" s="34" t="s">
        <v>143</v>
      </c>
      <c r="AF151" s="39">
        <f t="shared" si="2"/>
        <v>0</v>
      </c>
    </row>
    <row r="152" spans="3:32" ht="15.75" thickBot="1" x14ac:dyDescent="0.3">
      <c r="C152" s="1" t="s">
        <v>143</v>
      </c>
      <c r="G152" s="1" t="s">
        <v>143</v>
      </c>
      <c r="I152" s="1" t="s">
        <v>143</v>
      </c>
      <c r="L152" s="1" t="s">
        <v>143</v>
      </c>
      <c r="M152" s="1"/>
      <c r="N152" s="1" t="s">
        <v>143</v>
      </c>
      <c r="P152" s="34"/>
      <c r="R152" s="1" t="s">
        <v>143</v>
      </c>
      <c r="V152" s="1" t="s">
        <v>143</v>
      </c>
      <c r="X152" s="1" t="s">
        <v>143</v>
      </c>
      <c r="AA152" s="1" t="s">
        <v>143</v>
      </c>
      <c r="AC152" s="1" t="s">
        <v>143</v>
      </c>
      <c r="AE152" s="34"/>
      <c r="AF152" s="39">
        <f t="shared" si="2"/>
        <v>0</v>
      </c>
    </row>
    <row r="153" spans="3:32" ht="15.75" thickBot="1" x14ac:dyDescent="0.3">
      <c r="C153" s="1" t="s">
        <v>143</v>
      </c>
      <c r="G153" s="1" t="s">
        <v>143</v>
      </c>
      <c r="I153" s="1" t="s">
        <v>143</v>
      </c>
      <c r="L153" s="1" t="s">
        <v>143</v>
      </c>
      <c r="M153" s="1"/>
      <c r="O153" s="1" t="s">
        <v>143</v>
      </c>
      <c r="P153" s="34"/>
      <c r="R153" s="1" t="s">
        <v>143</v>
      </c>
      <c r="V153" s="1" t="s">
        <v>143</v>
      </c>
      <c r="X153" s="1" t="s">
        <v>143</v>
      </c>
      <c r="AA153" s="1" t="s">
        <v>143</v>
      </c>
      <c r="AD153" s="1" t="s">
        <v>143</v>
      </c>
      <c r="AE153" s="34"/>
      <c r="AF153" s="39">
        <f t="shared" si="2"/>
        <v>0</v>
      </c>
    </row>
    <row r="154" spans="3:32" ht="15.75" thickBot="1" x14ac:dyDescent="0.3">
      <c r="C154" s="1" t="s">
        <v>143</v>
      </c>
      <c r="G154" s="1" t="s">
        <v>143</v>
      </c>
      <c r="I154" s="1" t="s">
        <v>143</v>
      </c>
      <c r="L154" s="1" t="s">
        <v>143</v>
      </c>
      <c r="M154" s="1"/>
      <c r="P154" s="34" t="s">
        <v>143</v>
      </c>
      <c r="R154" s="1" t="s">
        <v>143</v>
      </c>
      <c r="V154" s="1" t="s">
        <v>143</v>
      </c>
      <c r="X154" s="1" t="s">
        <v>143</v>
      </c>
      <c r="AA154" s="1" t="s">
        <v>143</v>
      </c>
      <c r="AE154" s="34" t="s">
        <v>143</v>
      </c>
      <c r="AF154" s="39">
        <f t="shared" si="2"/>
        <v>0</v>
      </c>
    </row>
    <row r="155" spans="3:32" ht="15.75" thickBot="1" x14ac:dyDescent="0.3">
      <c r="C155" s="1" t="s">
        <v>143</v>
      </c>
      <c r="G155" s="1" t="s">
        <v>143</v>
      </c>
      <c r="I155" s="1" t="s">
        <v>143</v>
      </c>
      <c r="M155" s="1" t="s">
        <v>143</v>
      </c>
      <c r="N155" s="1" t="s">
        <v>143</v>
      </c>
      <c r="P155" s="34"/>
      <c r="R155" s="1" t="s">
        <v>143</v>
      </c>
      <c r="V155" s="1" t="s">
        <v>143</v>
      </c>
      <c r="X155" s="1" t="s">
        <v>143</v>
      </c>
      <c r="AB155" s="1" t="s">
        <v>143</v>
      </c>
      <c r="AC155" s="1" t="s">
        <v>143</v>
      </c>
      <c r="AE155" s="34"/>
      <c r="AF155" s="39">
        <f t="shared" si="2"/>
        <v>0</v>
      </c>
    </row>
    <row r="156" spans="3:32" ht="15.75" thickBot="1" x14ac:dyDescent="0.3">
      <c r="C156" s="1" t="s">
        <v>143</v>
      </c>
      <c r="G156" s="1" t="s">
        <v>143</v>
      </c>
      <c r="I156" s="1" t="s">
        <v>143</v>
      </c>
      <c r="M156" s="1" t="s">
        <v>143</v>
      </c>
      <c r="O156" s="1" t="s">
        <v>143</v>
      </c>
      <c r="P156" s="34"/>
      <c r="R156" s="1" t="s">
        <v>143</v>
      </c>
      <c r="V156" s="1" t="s">
        <v>143</v>
      </c>
      <c r="X156" s="1" t="s">
        <v>143</v>
      </c>
      <c r="AB156" s="1" t="s">
        <v>143</v>
      </c>
      <c r="AD156" s="1" t="s">
        <v>143</v>
      </c>
      <c r="AE156" s="34"/>
      <c r="AF156" s="39">
        <f t="shared" si="2"/>
        <v>0</v>
      </c>
    </row>
    <row r="157" spans="3:32" ht="15.75" thickBot="1" x14ac:dyDescent="0.3">
      <c r="C157" s="1" t="s">
        <v>143</v>
      </c>
      <c r="G157" s="1" t="s">
        <v>143</v>
      </c>
      <c r="I157" s="1" t="s">
        <v>143</v>
      </c>
      <c r="M157" s="1" t="s">
        <v>143</v>
      </c>
      <c r="P157" s="34" t="s">
        <v>143</v>
      </c>
      <c r="R157" s="1" t="s">
        <v>143</v>
      </c>
      <c r="V157" s="1" t="s">
        <v>143</v>
      </c>
      <c r="X157" s="1" t="s">
        <v>143</v>
      </c>
      <c r="AB157" s="1" t="s">
        <v>143</v>
      </c>
      <c r="AE157" s="34" t="s">
        <v>143</v>
      </c>
      <c r="AF157" s="39">
        <f t="shared" si="2"/>
        <v>0</v>
      </c>
    </row>
    <row r="158" spans="3:32" ht="15.75" thickBot="1" x14ac:dyDescent="0.3">
      <c r="C158" s="1" t="s">
        <v>143</v>
      </c>
      <c r="G158" s="1" t="s">
        <v>143</v>
      </c>
      <c r="J158" s="1" t="s">
        <v>143</v>
      </c>
      <c r="K158" s="1" t="s">
        <v>143</v>
      </c>
      <c r="N158" s="1" t="s">
        <v>143</v>
      </c>
      <c r="R158" s="1" t="s">
        <v>143</v>
      </c>
      <c r="V158" s="1" t="s">
        <v>143</v>
      </c>
      <c r="X158" s="37"/>
      <c r="Y158" s="1" t="s">
        <v>143</v>
      </c>
      <c r="Z158" s="1" t="s">
        <v>143</v>
      </c>
      <c r="AB158" s="37"/>
      <c r="AC158" s="1" t="s">
        <v>143</v>
      </c>
      <c r="AE158" s="36"/>
      <c r="AF158" s="39">
        <f t="shared" si="2"/>
        <v>0</v>
      </c>
    </row>
    <row r="159" spans="3:32" ht="15.75" thickBot="1" x14ac:dyDescent="0.3">
      <c r="C159" s="1" t="s">
        <v>143</v>
      </c>
      <c r="G159" s="1" t="s">
        <v>143</v>
      </c>
      <c r="J159" s="1" t="s">
        <v>143</v>
      </c>
      <c r="K159" s="1" t="s">
        <v>143</v>
      </c>
      <c r="M159" s="47"/>
      <c r="O159" s="1" t="s">
        <v>143</v>
      </c>
      <c r="P159" s="48"/>
      <c r="R159" s="1" t="s">
        <v>143</v>
      </c>
      <c r="V159" s="1" t="s">
        <v>143</v>
      </c>
      <c r="X159" s="37"/>
      <c r="Y159" s="1" t="s">
        <v>143</v>
      </c>
      <c r="Z159" s="1" t="s">
        <v>143</v>
      </c>
      <c r="AB159" s="47"/>
      <c r="AD159" s="1" t="s">
        <v>143</v>
      </c>
      <c r="AE159" s="48"/>
      <c r="AF159" s="39">
        <f t="shared" si="2"/>
        <v>0</v>
      </c>
    </row>
    <row r="160" spans="3:32" ht="15.75" thickBot="1" x14ac:dyDescent="0.3">
      <c r="C160" s="1" t="s">
        <v>143</v>
      </c>
      <c r="G160" s="1" t="s">
        <v>143</v>
      </c>
      <c r="J160" s="1" t="s">
        <v>143</v>
      </c>
      <c r="K160" s="1" t="s">
        <v>143</v>
      </c>
      <c r="M160" s="1"/>
      <c r="P160" s="34" t="s">
        <v>143</v>
      </c>
      <c r="R160" s="1" t="s">
        <v>143</v>
      </c>
      <c r="V160" s="1" t="s">
        <v>143</v>
      </c>
      <c r="X160" s="37"/>
      <c r="Y160" s="1" t="s">
        <v>143</v>
      </c>
      <c r="Z160" s="1" t="s">
        <v>143</v>
      </c>
      <c r="AE160" s="34" t="s">
        <v>143</v>
      </c>
      <c r="AF160" s="39">
        <f t="shared" si="2"/>
        <v>0</v>
      </c>
    </row>
    <row r="161" spans="3:32" ht="15.75" thickBot="1" x14ac:dyDescent="0.3">
      <c r="C161" s="1" t="s">
        <v>143</v>
      </c>
      <c r="G161" s="1" t="s">
        <v>143</v>
      </c>
      <c r="J161" s="1" t="s">
        <v>143</v>
      </c>
      <c r="L161" s="1" t="s">
        <v>143</v>
      </c>
      <c r="M161" s="1"/>
      <c r="N161" s="1" t="s">
        <v>143</v>
      </c>
      <c r="P161" s="34"/>
      <c r="R161" s="1" t="s">
        <v>143</v>
      </c>
      <c r="V161" s="1" t="s">
        <v>143</v>
      </c>
      <c r="X161" s="37"/>
      <c r="Y161" s="1" t="s">
        <v>143</v>
      </c>
      <c r="AA161" s="1" t="s">
        <v>143</v>
      </c>
      <c r="AC161" s="1" t="s">
        <v>143</v>
      </c>
      <c r="AE161" s="34"/>
      <c r="AF161" s="39">
        <f t="shared" si="2"/>
        <v>0</v>
      </c>
    </row>
    <row r="162" spans="3:32" ht="15.75" thickBot="1" x14ac:dyDescent="0.3">
      <c r="C162" s="1" t="s">
        <v>143</v>
      </c>
      <c r="G162" s="1" t="s">
        <v>143</v>
      </c>
      <c r="J162" s="1" t="s">
        <v>143</v>
      </c>
      <c r="L162" s="1" t="s">
        <v>143</v>
      </c>
      <c r="M162" s="1"/>
      <c r="O162" s="1" t="s">
        <v>143</v>
      </c>
      <c r="P162" s="34"/>
      <c r="R162" s="1" t="s">
        <v>143</v>
      </c>
      <c r="V162" s="1" t="s">
        <v>143</v>
      </c>
      <c r="X162" s="37"/>
      <c r="Y162" s="1" t="s">
        <v>143</v>
      </c>
      <c r="AA162" s="1" t="s">
        <v>143</v>
      </c>
      <c r="AD162" s="1" t="s">
        <v>143</v>
      </c>
      <c r="AE162" s="34"/>
      <c r="AF162" s="39">
        <f t="shared" si="2"/>
        <v>0</v>
      </c>
    </row>
    <row r="163" spans="3:32" ht="15.75" thickBot="1" x14ac:dyDescent="0.3">
      <c r="C163" s="1" t="s">
        <v>143</v>
      </c>
      <c r="G163" s="1" t="s">
        <v>143</v>
      </c>
      <c r="J163" s="1" t="s">
        <v>143</v>
      </c>
      <c r="L163" s="1" t="s">
        <v>143</v>
      </c>
      <c r="M163" s="1"/>
      <c r="P163" s="34" t="s">
        <v>143</v>
      </c>
      <c r="R163" s="1" t="s">
        <v>143</v>
      </c>
      <c r="V163" s="1" t="s">
        <v>143</v>
      </c>
      <c r="X163" s="37"/>
      <c r="Y163" s="1" t="s">
        <v>143</v>
      </c>
      <c r="AA163" s="1" t="s">
        <v>143</v>
      </c>
      <c r="AE163" s="34" t="s">
        <v>143</v>
      </c>
      <c r="AF163" s="39">
        <f t="shared" si="2"/>
        <v>0</v>
      </c>
    </row>
    <row r="164" spans="3:32" ht="15.75" thickBot="1" x14ac:dyDescent="0.3">
      <c r="C164" s="1" t="s">
        <v>143</v>
      </c>
      <c r="G164" s="1" t="s">
        <v>143</v>
      </c>
      <c r="J164" s="1" t="s">
        <v>143</v>
      </c>
      <c r="M164" s="1" t="s">
        <v>143</v>
      </c>
      <c r="N164" s="1" t="s">
        <v>143</v>
      </c>
      <c r="P164" s="34"/>
      <c r="R164" s="1" t="s">
        <v>143</v>
      </c>
      <c r="V164" s="1" t="s">
        <v>143</v>
      </c>
      <c r="X164" s="37"/>
      <c r="Y164" s="1" t="s">
        <v>143</v>
      </c>
      <c r="AB164" s="1" t="s">
        <v>143</v>
      </c>
      <c r="AC164" s="1" t="s">
        <v>143</v>
      </c>
      <c r="AE164" s="34"/>
      <c r="AF164" s="39">
        <f t="shared" si="2"/>
        <v>0</v>
      </c>
    </row>
    <row r="165" spans="3:32" ht="15.75" thickBot="1" x14ac:dyDescent="0.3">
      <c r="C165" s="1" t="s">
        <v>143</v>
      </c>
      <c r="G165" s="1" t="s">
        <v>143</v>
      </c>
      <c r="J165" s="1" t="s">
        <v>143</v>
      </c>
      <c r="M165" s="1" t="s">
        <v>143</v>
      </c>
      <c r="O165" s="1" t="s">
        <v>143</v>
      </c>
      <c r="P165" s="34"/>
      <c r="R165" s="1" t="s">
        <v>143</v>
      </c>
      <c r="V165" s="1" t="s">
        <v>143</v>
      </c>
      <c r="X165" s="37"/>
      <c r="Y165" s="1" t="s">
        <v>143</v>
      </c>
      <c r="AB165" s="1" t="s">
        <v>143</v>
      </c>
      <c r="AD165" s="1" t="s">
        <v>143</v>
      </c>
      <c r="AE165" s="34"/>
      <c r="AF165" s="39">
        <f t="shared" si="2"/>
        <v>0</v>
      </c>
    </row>
    <row r="166" spans="3:32" ht="15.75" thickBot="1" x14ac:dyDescent="0.3">
      <c r="C166" s="1" t="s">
        <v>143</v>
      </c>
      <c r="E166" s="30"/>
      <c r="F166" s="30"/>
      <c r="G166" s="1" t="s">
        <v>143</v>
      </c>
      <c r="J166" s="1" t="s">
        <v>143</v>
      </c>
      <c r="M166" s="1" t="s">
        <v>143</v>
      </c>
      <c r="P166" s="34" t="s">
        <v>143</v>
      </c>
      <c r="R166" s="1" t="s">
        <v>143</v>
      </c>
      <c r="T166" s="30"/>
      <c r="U166" s="30"/>
      <c r="V166" s="1" t="s">
        <v>143</v>
      </c>
      <c r="X166" s="37"/>
      <c r="Y166" s="1" t="s">
        <v>143</v>
      </c>
      <c r="AB166" s="1" t="s">
        <v>143</v>
      </c>
      <c r="AE166" s="34" t="s">
        <v>143</v>
      </c>
      <c r="AF166" s="39">
        <f t="shared" si="2"/>
        <v>0</v>
      </c>
    </row>
    <row r="167" spans="3:32" ht="15.75" thickBot="1" x14ac:dyDescent="0.3">
      <c r="D167" s="1" t="s">
        <v>143</v>
      </c>
      <c r="E167" s="1" t="s">
        <v>143</v>
      </c>
      <c r="H167" s="1" t="s">
        <v>143</v>
      </c>
      <c r="K167" s="1" t="s">
        <v>143</v>
      </c>
      <c r="N167" s="1" t="s">
        <v>143</v>
      </c>
      <c r="S167" s="1" t="s">
        <v>143</v>
      </c>
      <c r="T167" s="1" t="s">
        <v>143</v>
      </c>
      <c r="V167" s="36"/>
      <c r="W167" s="1" t="s">
        <v>143</v>
      </c>
      <c r="X167" s="37"/>
      <c r="Z167" s="1" t="s">
        <v>143</v>
      </c>
      <c r="AB167" s="37"/>
      <c r="AC167" s="1" t="s">
        <v>143</v>
      </c>
      <c r="AE167" s="36"/>
      <c r="AF167" s="39">
        <f t="shared" si="2"/>
        <v>0</v>
      </c>
    </row>
    <row r="168" spans="3:32" ht="15.75" thickBot="1" x14ac:dyDescent="0.3">
      <c r="D168" s="1" t="s">
        <v>143</v>
      </c>
      <c r="E168" s="1" t="s">
        <v>143</v>
      </c>
      <c r="H168" s="1" t="s">
        <v>143</v>
      </c>
      <c r="K168" s="1" t="s">
        <v>143</v>
      </c>
      <c r="M168" s="47"/>
      <c r="O168" s="1" t="s">
        <v>143</v>
      </c>
      <c r="P168" s="48"/>
      <c r="S168" s="1" t="s">
        <v>143</v>
      </c>
      <c r="T168" s="1" t="s">
        <v>143</v>
      </c>
      <c r="V168" s="36"/>
      <c r="W168" s="1" t="s">
        <v>143</v>
      </c>
      <c r="X168" s="37"/>
      <c r="Z168" s="1" t="s">
        <v>143</v>
      </c>
      <c r="AB168" s="47"/>
      <c r="AD168" s="1" t="s">
        <v>143</v>
      </c>
      <c r="AE168" s="48"/>
      <c r="AF168" s="39">
        <f t="shared" si="2"/>
        <v>0</v>
      </c>
    </row>
    <row r="169" spans="3:32" ht="15.75" thickBot="1" x14ac:dyDescent="0.3">
      <c r="D169" s="1" t="s">
        <v>143</v>
      </c>
      <c r="E169" s="1" t="s">
        <v>143</v>
      </c>
      <c r="H169" s="1" t="s">
        <v>143</v>
      </c>
      <c r="K169" s="1" t="s">
        <v>143</v>
      </c>
      <c r="M169" s="1"/>
      <c r="P169" s="34" t="s">
        <v>143</v>
      </c>
      <c r="S169" s="1" t="s">
        <v>143</v>
      </c>
      <c r="T169" s="1" t="s">
        <v>143</v>
      </c>
      <c r="V169" s="36"/>
      <c r="W169" s="1" t="s">
        <v>143</v>
      </c>
      <c r="X169" s="37"/>
      <c r="Z169" s="1" t="s">
        <v>143</v>
      </c>
      <c r="AE169" s="34" t="s">
        <v>143</v>
      </c>
      <c r="AF169" s="39">
        <f t="shared" si="2"/>
        <v>0</v>
      </c>
    </row>
    <row r="170" spans="3:32" ht="15.75" thickBot="1" x14ac:dyDescent="0.3">
      <c r="D170" s="1" t="s">
        <v>143</v>
      </c>
      <c r="E170" s="1" t="s">
        <v>143</v>
      </c>
      <c r="H170" s="1" t="s">
        <v>143</v>
      </c>
      <c r="L170" s="1" t="s">
        <v>143</v>
      </c>
      <c r="M170" s="1"/>
      <c r="N170" s="1" t="s">
        <v>143</v>
      </c>
      <c r="P170" s="34"/>
      <c r="S170" s="1" t="s">
        <v>143</v>
      </c>
      <c r="T170" s="1" t="s">
        <v>143</v>
      </c>
      <c r="V170" s="36"/>
      <c r="W170" s="1" t="s">
        <v>143</v>
      </c>
      <c r="X170" s="37"/>
      <c r="AA170" s="1" t="s">
        <v>143</v>
      </c>
      <c r="AC170" s="1" t="s">
        <v>143</v>
      </c>
      <c r="AE170" s="34"/>
      <c r="AF170" s="39">
        <f t="shared" si="2"/>
        <v>0</v>
      </c>
    </row>
    <row r="171" spans="3:32" ht="15.75" thickBot="1" x14ac:dyDescent="0.3">
      <c r="D171" s="1" t="s">
        <v>143</v>
      </c>
      <c r="E171" s="1" t="s">
        <v>143</v>
      </c>
      <c r="H171" s="1" t="s">
        <v>143</v>
      </c>
      <c r="L171" s="1" t="s">
        <v>143</v>
      </c>
      <c r="M171" s="1"/>
      <c r="O171" s="1" t="s">
        <v>143</v>
      </c>
      <c r="P171" s="34"/>
      <c r="S171" s="1" t="s">
        <v>143</v>
      </c>
      <c r="T171" s="1" t="s">
        <v>143</v>
      </c>
      <c r="V171" s="36"/>
      <c r="W171" s="1" t="s">
        <v>143</v>
      </c>
      <c r="X171" s="37"/>
      <c r="AA171" s="1" t="s">
        <v>143</v>
      </c>
      <c r="AD171" s="1" t="s">
        <v>143</v>
      </c>
      <c r="AE171" s="34"/>
      <c r="AF171" s="39">
        <f t="shared" si="2"/>
        <v>0</v>
      </c>
    </row>
    <row r="172" spans="3:32" ht="15.75" thickBot="1" x14ac:dyDescent="0.3">
      <c r="D172" s="1" t="s">
        <v>143</v>
      </c>
      <c r="E172" s="1" t="s">
        <v>143</v>
      </c>
      <c r="H172" s="1" t="s">
        <v>143</v>
      </c>
      <c r="L172" s="1" t="s">
        <v>143</v>
      </c>
      <c r="M172" s="1"/>
      <c r="P172" s="34" t="s">
        <v>143</v>
      </c>
      <c r="S172" s="1" t="s">
        <v>143</v>
      </c>
      <c r="T172" s="1" t="s">
        <v>143</v>
      </c>
      <c r="V172" s="36"/>
      <c r="W172" s="1" t="s">
        <v>143</v>
      </c>
      <c r="X172" s="37"/>
      <c r="AA172" s="1" t="s">
        <v>143</v>
      </c>
      <c r="AE172" s="34" t="s">
        <v>143</v>
      </c>
      <c r="AF172" s="39">
        <f t="shared" si="2"/>
        <v>0</v>
      </c>
    </row>
    <row r="173" spans="3:32" ht="15.75" thickBot="1" x14ac:dyDescent="0.3">
      <c r="D173" s="1" t="s">
        <v>143</v>
      </c>
      <c r="E173" s="1" t="s">
        <v>143</v>
      </c>
      <c r="H173" s="1" t="s">
        <v>143</v>
      </c>
      <c r="M173" s="1" t="s">
        <v>143</v>
      </c>
      <c r="N173" s="1" t="s">
        <v>143</v>
      </c>
      <c r="P173" s="34"/>
      <c r="S173" s="1" t="s">
        <v>143</v>
      </c>
      <c r="T173" s="1" t="s">
        <v>143</v>
      </c>
      <c r="V173" s="36"/>
      <c r="W173" s="1" t="s">
        <v>143</v>
      </c>
      <c r="X173" s="37"/>
      <c r="AB173" s="1" t="s">
        <v>143</v>
      </c>
      <c r="AC173" s="1" t="s">
        <v>143</v>
      </c>
      <c r="AE173" s="34"/>
      <c r="AF173" s="39">
        <f t="shared" si="2"/>
        <v>0</v>
      </c>
    </row>
    <row r="174" spans="3:32" ht="15.75" thickBot="1" x14ac:dyDescent="0.3">
      <c r="D174" s="1" t="s">
        <v>143</v>
      </c>
      <c r="E174" s="1" t="s">
        <v>143</v>
      </c>
      <c r="H174" s="1" t="s">
        <v>143</v>
      </c>
      <c r="M174" s="1" t="s">
        <v>143</v>
      </c>
      <c r="O174" s="1" t="s">
        <v>143</v>
      </c>
      <c r="P174" s="34"/>
      <c r="S174" s="1" t="s">
        <v>143</v>
      </c>
      <c r="T174" s="1" t="s">
        <v>143</v>
      </c>
      <c r="V174" s="36"/>
      <c r="W174" s="1" t="s">
        <v>143</v>
      </c>
      <c r="X174" s="37"/>
      <c r="AB174" s="1" t="s">
        <v>143</v>
      </c>
      <c r="AD174" s="1" t="s">
        <v>143</v>
      </c>
      <c r="AE174" s="34"/>
      <c r="AF174" s="39">
        <f t="shared" si="2"/>
        <v>0</v>
      </c>
    </row>
    <row r="175" spans="3:32" ht="15.75" thickBot="1" x14ac:dyDescent="0.3">
      <c r="D175" s="1" t="s">
        <v>143</v>
      </c>
      <c r="E175" s="1" t="s">
        <v>143</v>
      </c>
      <c r="H175" s="1" t="s">
        <v>143</v>
      </c>
      <c r="M175" s="1" t="s">
        <v>143</v>
      </c>
      <c r="P175" s="34" t="s">
        <v>143</v>
      </c>
      <c r="S175" s="1" t="s">
        <v>143</v>
      </c>
      <c r="T175" s="1" t="s">
        <v>143</v>
      </c>
      <c r="V175" s="36"/>
      <c r="W175" s="1" t="s">
        <v>143</v>
      </c>
      <c r="X175" s="37"/>
      <c r="AB175" s="1" t="s">
        <v>143</v>
      </c>
      <c r="AE175" s="34" t="s">
        <v>143</v>
      </c>
      <c r="AF175" s="39">
        <f t="shared" si="2"/>
        <v>0</v>
      </c>
    </row>
    <row r="176" spans="3:32" ht="15.75" thickBot="1" x14ac:dyDescent="0.3">
      <c r="D176" s="1" t="s">
        <v>143</v>
      </c>
      <c r="E176" s="1" t="s">
        <v>143</v>
      </c>
      <c r="I176" s="1" t="s">
        <v>143</v>
      </c>
      <c r="K176" s="1" t="s">
        <v>143</v>
      </c>
      <c r="N176" s="1" t="s">
        <v>143</v>
      </c>
      <c r="S176" s="1" t="s">
        <v>143</v>
      </c>
      <c r="T176" s="1" t="s">
        <v>143</v>
      </c>
      <c r="V176" s="36"/>
      <c r="X176" s="1" t="s">
        <v>143</v>
      </c>
      <c r="Z176" s="1" t="s">
        <v>143</v>
      </c>
      <c r="AB176" s="37"/>
      <c r="AC176" s="1" t="s">
        <v>143</v>
      </c>
      <c r="AE176" s="36"/>
      <c r="AF176" s="39">
        <f t="shared" si="2"/>
        <v>0</v>
      </c>
    </row>
    <row r="177" spans="4:32" ht="15.75" thickBot="1" x14ac:dyDescent="0.3">
      <c r="D177" s="1" t="s">
        <v>143</v>
      </c>
      <c r="E177" s="1" t="s">
        <v>143</v>
      </c>
      <c r="I177" s="1" t="s">
        <v>143</v>
      </c>
      <c r="K177" s="1" t="s">
        <v>143</v>
      </c>
      <c r="M177" s="47"/>
      <c r="O177" s="1" t="s">
        <v>143</v>
      </c>
      <c r="P177" s="48"/>
      <c r="S177" s="1" t="s">
        <v>143</v>
      </c>
      <c r="T177" s="1" t="s">
        <v>143</v>
      </c>
      <c r="V177" s="36"/>
      <c r="X177" s="1" t="s">
        <v>143</v>
      </c>
      <c r="Z177" s="1" t="s">
        <v>143</v>
      </c>
      <c r="AB177" s="47"/>
      <c r="AD177" s="1" t="s">
        <v>143</v>
      </c>
      <c r="AE177" s="48"/>
      <c r="AF177" s="39">
        <f t="shared" si="2"/>
        <v>0</v>
      </c>
    </row>
    <row r="178" spans="4:32" ht="15.75" thickBot="1" x14ac:dyDescent="0.3">
      <c r="D178" s="1" t="s">
        <v>143</v>
      </c>
      <c r="E178" s="1" t="s">
        <v>143</v>
      </c>
      <c r="I178" s="1" t="s">
        <v>143</v>
      </c>
      <c r="K178" s="1" t="s">
        <v>143</v>
      </c>
      <c r="M178" s="1"/>
      <c r="P178" s="34" t="s">
        <v>143</v>
      </c>
      <c r="S178" s="1" t="s">
        <v>143</v>
      </c>
      <c r="T178" s="1" t="s">
        <v>143</v>
      </c>
      <c r="V178" s="36"/>
      <c r="X178" s="1" t="s">
        <v>143</v>
      </c>
      <c r="Z178" s="1" t="s">
        <v>143</v>
      </c>
      <c r="AE178" s="34" t="s">
        <v>143</v>
      </c>
      <c r="AF178" s="39">
        <f t="shared" si="2"/>
        <v>0</v>
      </c>
    </row>
    <row r="179" spans="4:32" ht="15.75" thickBot="1" x14ac:dyDescent="0.3">
      <c r="D179" s="1" t="s">
        <v>143</v>
      </c>
      <c r="E179" s="1" t="s">
        <v>143</v>
      </c>
      <c r="I179" s="1" t="s">
        <v>143</v>
      </c>
      <c r="L179" s="1" t="s">
        <v>143</v>
      </c>
      <c r="M179" s="1"/>
      <c r="N179" s="1" t="s">
        <v>143</v>
      </c>
      <c r="P179" s="34"/>
      <c r="S179" s="1" t="s">
        <v>143</v>
      </c>
      <c r="T179" s="1" t="s">
        <v>143</v>
      </c>
      <c r="V179" s="36"/>
      <c r="X179" s="1" t="s">
        <v>143</v>
      </c>
      <c r="AA179" s="1" t="s">
        <v>143</v>
      </c>
      <c r="AC179" s="1" t="s">
        <v>143</v>
      </c>
      <c r="AE179" s="34"/>
      <c r="AF179" s="39">
        <f t="shared" si="2"/>
        <v>0</v>
      </c>
    </row>
    <row r="180" spans="4:32" ht="15.75" thickBot="1" x14ac:dyDescent="0.3">
      <c r="D180" s="1" t="s">
        <v>143</v>
      </c>
      <c r="E180" s="1" t="s">
        <v>143</v>
      </c>
      <c r="I180" s="1" t="s">
        <v>143</v>
      </c>
      <c r="L180" s="1" t="s">
        <v>143</v>
      </c>
      <c r="M180" s="1"/>
      <c r="O180" s="1" t="s">
        <v>143</v>
      </c>
      <c r="P180" s="34"/>
      <c r="S180" s="1" t="s">
        <v>143</v>
      </c>
      <c r="T180" s="1" t="s">
        <v>143</v>
      </c>
      <c r="V180" s="36"/>
      <c r="X180" s="1" t="s">
        <v>143</v>
      </c>
      <c r="AA180" s="1" t="s">
        <v>143</v>
      </c>
      <c r="AD180" s="1" t="s">
        <v>143</v>
      </c>
      <c r="AE180" s="34"/>
      <c r="AF180" s="39">
        <f t="shared" si="2"/>
        <v>0</v>
      </c>
    </row>
    <row r="181" spans="4:32" ht="15.75" thickBot="1" x14ac:dyDescent="0.3">
      <c r="D181" s="1" t="s">
        <v>143</v>
      </c>
      <c r="E181" s="1" t="s">
        <v>143</v>
      </c>
      <c r="I181" s="1" t="s">
        <v>143</v>
      </c>
      <c r="L181" s="1" t="s">
        <v>143</v>
      </c>
      <c r="M181" s="1"/>
      <c r="P181" s="34" t="s">
        <v>143</v>
      </c>
      <c r="S181" s="1" t="s">
        <v>143</v>
      </c>
      <c r="T181" s="1" t="s">
        <v>143</v>
      </c>
      <c r="V181" s="36"/>
      <c r="X181" s="1" t="s">
        <v>143</v>
      </c>
      <c r="AA181" s="1" t="s">
        <v>143</v>
      </c>
      <c r="AE181" s="34" t="s">
        <v>143</v>
      </c>
      <c r="AF181" s="39">
        <f t="shared" si="2"/>
        <v>0</v>
      </c>
    </row>
    <row r="182" spans="4:32" ht="15.75" thickBot="1" x14ac:dyDescent="0.3">
      <c r="D182" s="1" t="s">
        <v>143</v>
      </c>
      <c r="E182" s="1" t="s">
        <v>143</v>
      </c>
      <c r="I182" s="1" t="s">
        <v>143</v>
      </c>
      <c r="M182" s="1" t="s">
        <v>143</v>
      </c>
      <c r="N182" s="1" t="s">
        <v>143</v>
      </c>
      <c r="P182" s="34"/>
      <c r="S182" s="1" t="s">
        <v>143</v>
      </c>
      <c r="T182" s="1" t="s">
        <v>143</v>
      </c>
      <c r="V182" s="36"/>
      <c r="X182" s="1" t="s">
        <v>143</v>
      </c>
      <c r="AB182" s="1" t="s">
        <v>143</v>
      </c>
      <c r="AC182" s="1" t="s">
        <v>143</v>
      </c>
      <c r="AE182" s="34"/>
      <c r="AF182" s="39">
        <f t="shared" si="2"/>
        <v>0</v>
      </c>
    </row>
    <row r="183" spans="4:32" ht="15.75" thickBot="1" x14ac:dyDescent="0.3">
      <c r="D183" s="1" t="s">
        <v>143</v>
      </c>
      <c r="E183" s="1" t="s">
        <v>143</v>
      </c>
      <c r="I183" s="1" t="s">
        <v>143</v>
      </c>
      <c r="M183" s="1" t="s">
        <v>143</v>
      </c>
      <c r="O183" s="1" t="s">
        <v>143</v>
      </c>
      <c r="P183" s="34"/>
      <c r="S183" s="1" t="s">
        <v>143</v>
      </c>
      <c r="T183" s="1" t="s">
        <v>143</v>
      </c>
      <c r="V183" s="36"/>
      <c r="X183" s="1" t="s">
        <v>143</v>
      </c>
      <c r="AB183" s="1" t="s">
        <v>143</v>
      </c>
      <c r="AD183" s="1" t="s">
        <v>143</v>
      </c>
      <c r="AE183" s="34"/>
      <c r="AF183" s="39">
        <f t="shared" si="2"/>
        <v>0</v>
      </c>
    </row>
    <row r="184" spans="4:32" ht="15.75" thickBot="1" x14ac:dyDescent="0.3">
      <c r="D184" s="1" t="s">
        <v>143</v>
      </c>
      <c r="E184" s="1" t="s">
        <v>143</v>
      </c>
      <c r="I184" s="1" t="s">
        <v>143</v>
      </c>
      <c r="M184" s="1" t="s">
        <v>143</v>
      </c>
      <c r="P184" s="34" t="s">
        <v>143</v>
      </c>
      <c r="S184" s="1" t="s">
        <v>143</v>
      </c>
      <c r="T184" s="1" t="s">
        <v>143</v>
      </c>
      <c r="V184" s="36"/>
      <c r="X184" s="1" t="s">
        <v>143</v>
      </c>
      <c r="AB184" s="1" t="s">
        <v>143</v>
      </c>
      <c r="AE184" s="34" t="s">
        <v>143</v>
      </c>
      <c r="AF184" s="39">
        <f t="shared" si="2"/>
        <v>0</v>
      </c>
    </row>
    <row r="185" spans="4:32" ht="15.75" thickBot="1" x14ac:dyDescent="0.3">
      <c r="D185" s="1" t="s">
        <v>143</v>
      </c>
      <c r="E185" s="1" t="s">
        <v>143</v>
      </c>
      <c r="J185" s="1" t="s">
        <v>143</v>
      </c>
      <c r="K185" s="1" t="s">
        <v>143</v>
      </c>
      <c r="N185" s="1" t="s">
        <v>143</v>
      </c>
      <c r="S185" s="1" t="s">
        <v>143</v>
      </c>
      <c r="T185" s="1" t="s">
        <v>143</v>
      </c>
      <c r="V185" s="36"/>
      <c r="X185" s="37"/>
      <c r="Y185" s="1" t="s">
        <v>143</v>
      </c>
      <c r="Z185" s="1" t="s">
        <v>143</v>
      </c>
      <c r="AB185" s="37"/>
      <c r="AC185" s="1" t="s">
        <v>143</v>
      </c>
      <c r="AE185" s="36"/>
      <c r="AF185" s="39">
        <f t="shared" si="2"/>
        <v>0</v>
      </c>
    </row>
    <row r="186" spans="4:32" ht="15.75" thickBot="1" x14ac:dyDescent="0.3">
      <c r="D186" s="1" t="s">
        <v>143</v>
      </c>
      <c r="E186" s="1" t="s">
        <v>143</v>
      </c>
      <c r="J186" s="1" t="s">
        <v>143</v>
      </c>
      <c r="K186" s="1" t="s">
        <v>143</v>
      </c>
      <c r="M186" s="47"/>
      <c r="O186" s="1" t="s">
        <v>143</v>
      </c>
      <c r="P186" s="48"/>
      <c r="S186" s="1" t="s">
        <v>143</v>
      </c>
      <c r="T186" s="1" t="s">
        <v>143</v>
      </c>
      <c r="V186" s="36"/>
      <c r="X186" s="37"/>
      <c r="Y186" s="1" t="s">
        <v>143</v>
      </c>
      <c r="Z186" s="1" t="s">
        <v>143</v>
      </c>
      <c r="AB186" s="47"/>
      <c r="AD186" s="1" t="s">
        <v>143</v>
      </c>
      <c r="AE186" s="48"/>
      <c r="AF186" s="39">
        <f t="shared" si="2"/>
        <v>0</v>
      </c>
    </row>
    <row r="187" spans="4:32" ht="15.75" thickBot="1" x14ac:dyDescent="0.3">
      <c r="D187" s="1" t="s">
        <v>143</v>
      </c>
      <c r="E187" s="1" t="s">
        <v>143</v>
      </c>
      <c r="J187" s="1" t="s">
        <v>143</v>
      </c>
      <c r="K187" s="1" t="s">
        <v>143</v>
      </c>
      <c r="M187" s="1"/>
      <c r="P187" s="34" t="s">
        <v>143</v>
      </c>
      <c r="S187" s="1" t="s">
        <v>143</v>
      </c>
      <c r="T187" s="1" t="s">
        <v>143</v>
      </c>
      <c r="V187" s="36"/>
      <c r="X187" s="37"/>
      <c r="Y187" s="1" t="s">
        <v>143</v>
      </c>
      <c r="Z187" s="1" t="s">
        <v>143</v>
      </c>
      <c r="AE187" s="34" t="s">
        <v>143</v>
      </c>
      <c r="AF187" s="39">
        <f t="shared" si="2"/>
        <v>0</v>
      </c>
    </row>
    <row r="188" spans="4:32" ht="15.75" thickBot="1" x14ac:dyDescent="0.3">
      <c r="D188" s="1" t="s">
        <v>143</v>
      </c>
      <c r="E188" s="1" t="s">
        <v>143</v>
      </c>
      <c r="J188" s="1" t="s">
        <v>143</v>
      </c>
      <c r="L188" s="1" t="s">
        <v>143</v>
      </c>
      <c r="M188" s="1"/>
      <c r="N188" s="1" t="s">
        <v>143</v>
      </c>
      <c r="P188" s="34"/>
      <c r="S188" s="1" t="s">
        <v>143</v>
      </c>
      <c r="T188" s="1" t="s">
        <v>143</v>
      </c>
      <c r="V188" s="36"/>
      <c r="X188" s="37"/>
      <c r="Y188" s="1" t="s">
        <v>143</v>
      </c>
      <c r="AA188" s="1" t="s">
        <v>143</v>
      </c>
      <c r="AC188" s="1" t="s">
        <v>143</v>
      </c>
      <c r="AE188" s="34"/>
      <c r="AF188" s="39">
        <f t="shared" si="2"/>
        <v>0</v>
      </c>
    </row>
    <row r="189" spans="4:32" ht="15.75" thickBot="1" x14ac:dyDescent="0.3">
      <c r="D189" s="1" t="s">
        <v>143</v>
      </c>
      <c r="E189" s="1" t="s">
        <v>143</v>
      </c>
      <c r="J189" s="1" t="s">
        <v>143</v>
      </c>
      <c r="L189" s="1" t="s">
        <v>143</v>
      </c>
      <c r="M189" s="1"/>
      <c r="O189" s="1" t="s">
        <v>143</v>
      </c>
      <c r="P189" s="34"/>
      <c r="S189" s="1" t="s">
        <v>143</v>
      </c>
      <c r="T189" s="1" t="s">
        <v>143</v>
      </c>
      <c r="V189" s="36"/>
      <c r="X189" s="37"/>
      <c r="Y189" s="1" t="s">
        <v>143</v>
      </c>
      <c r="AA189" s="1" t="s">
        <v>143</v>
      </c>
      <c r="AD189" s="1" t="s">
        <v>143</v>
      </c>
      <c r="AE189" s="34"/>
      <c r="AF189" s="39">
        <f t="shared" si="2"/>
        <v>0</v>
      </c>
    </row>
    <row r="190" spans="4:32" ht="15.75" thickBot="1" x14ac:dyDescent="0.3">
      <c r="D190" s="1" t="s">
        <v>143</v>
      </c>
      <c r="E190" s="1" t="s">
        <v>143</v>
      </c>
      <c r="J190" s="1" t="s">
        <v>143</v>
      </c>
      <c r="L190" s="1" t="s">
        <v>143</v>
      </c>
      <c r="M190" s="1"/>
      <c r="P190" s="34" t="s">
        <v>143</v>
      </c>
      <c r="S190" s="1" t="s">
        <v>143</v>
      </c>
      <c r="T190" s="1" t="s">
        <v>143</v>
      </c>
      <c r="V190" s="36"/>
      <c r="X190" s="37"/>
      <c r="Y190" s="1" t="s">
        <v>143</v>
      </c>
      <c r="AA190" s="1" t="s">
        <v>143</v>
      </c>
      <c r="AE190" s="34" t="s">
        <v>143</v>
      </c>
      <c r="AF190" s="39">
        <f t="shared" si="2"/>
        <v>0</v>
      </c>
    </row>
    <row r="191" spans="4:32" ht="15.75" thickBot="1" x14ac:dyDescent="0.3">
      <c r="D191" s="1" t="s">
        <v>143</v>
      </c>
      <c r="E191" s="1" t="s">
        <v>143</v>
      </c>
      <c r="J191" s="1" t="s">
        <v>143</v>
      </c>
      <c r="M191" s="1" t="s">
        <v>143</v>
      </c>
      <c r="N191" s="1" t="s">
        <v>143</v>
      </c>
      <c r="P191" s="34"/>
      <c r="S191" s="1" t="s">
        <v>143</v>
      </c>
      <c r="T191" s="1" t="s">
        <v>143</v>
      </c>
      <c r="V191" s="36"/>
      <c r="X191" s="37"/>
      <c r="Y191" s="1" t="s">
        <v>143</v>
      </c>
      <c r="AB191" s="1" t="s">
        <v>143</v>
      </c>
      <c r="AC191" s="1" t="s">
        <v>143</v>
      </c>
      <c r="AE191" s="34"/>
      <c r="AF191" s="39">
        <f t="shared" si="2"/>
        <v>0</v>
      </c>
    </row>
    <row r="192" spans="4:32" ht="15.75" thickBot="1" x14ac:dyDescent="0.3">
      <c r="D192" s="1" t="s">
        <v>143</v>
      </c>
      <c r="E192" s="1" t="s">
        <v>143</v>
      </c>
      <c r="J192" s="1" t="s">
        <v>143</v>
      </c>
      <c r="M192" s="1" t="s">
        <v>143</v>
      </c>
      <c r="O192" s="1" t="s">
        <v>143</v>
      </c>
      <c r="P192" s="34"/>
      <c r="S192" s="1" t="s">
        <v>143</v>
      </c>
      <c r="T192" s="1" t="s">
        <v>143</v>
      </c>
      <c r="V192" s="36"/>
      <c r="X192" s="37"/>
      <c r="Y192" s="1" t="s">
        <v>143</v>
      </c>
      <c r="AB192" s="1" t="s">
        <v>143</v>
      </c>
      <c r="AD192" s="1" t="s">
        <v>143</v>
      </c>
      <c r="AE192" s="34"/>
      <c r="AF192" s="39">
        <f t="shared" si="2"/>
        <v>0</v>
      </c>
    </row>
    <row r="193" spans="4:32" ht="15.75" thickBot="1" x14ac:dyDescent="0.3">
      <c r="D193" s="1" t="s">
        <v>143</v>
      </c>
      <c r="E193" s="1" t="s">
        <v>143</v>
      </c>
      <c r="J193" s="1" t="s">
        <v>143</v>
      </c>
      <c r="M193" s="1" t="s">
        <v>143</v>
      </c>
      <c r="P193" s="34" t="s">
        <v>143</v>
      </c>
      <c r="S193" s="1" t="s">
        <v>143</v>
      </c>
      <c r="T193" s="1" t="s">
        <v>143</v>
      </c>
      <c r="V193" s="36"/>
      <c r="X193" s="37"/>
      <c r="Y193" s="1" t="s">
        <v>143</v>
      </c>
      <c r="AB193" s="1" t="s">
        <v>143</v>
      </c>
      <c r="AE193" s="34" t="s">
        <v>143</v>
      </c>
      <c r="AF193" s="39">
        <f t="shared" si="2"/>
        <v>0</v>
      </c>
    </row>
    <row r="194" spans="4:32" ht="15.75" thickBot="1" x14ac:dyDescent="0.3">
      <c r="D194" s="1" t="s">
        <v>143</v>
      </c>
      <c r="F194" s="1" t="s">
        <v>143</v>
      </c>
      <c r="H194" s="1" t="s">
        <v>143</v>
      </c>
      <c r="K194" s="1" t="s">
        <v>143</v>
      </c>
      <c r="N194" s="1" t="s">
        <v>143</v>
      </c>
      <c r="S194" s="1" t="s">
        <v>143</v>
      </c>
      <c r="U194" s="1" t="s">
        <v>143</v>
      </c>
      <c r="V194" s="36"/>
      <c r="W194" s="1" t="s">
        <v>143</v>
      </c>
      <c r="X194" s="37"/>
      <c r="Z194" s="1" t="s">
        <v>143</v>
      </c>
      <c r="AB194" s="37"/>
      <c r="AC194" s="1" t="s">
        <v>143</v>
      </c>
      <c r="AE194" s="36"/>
      <c r="AF194" s="39">
        <f t="shared" si="2"/>
        <v>0</v>
      </c>
    </row>
    <row r="195" spans="4:32" ht="15.75" thickBot="1" x14ac:dyDescent="0.3">
      <c r="D195" s="1" t="s">
        <v>143</v>
      </c>
      <c r="F195" s="1" t="s">
        <v>143</v>
      </c>
      <c r="H195" s="1" t="s">
        <v>143</v>
      </c>
      <c r="K195" s="1" t="s">
        <v>143</v>
      </c>
      <c r="M195" s="47"/>
      <c r="O195" s="1" t="s">
        <v>143</v>
      </c>
      <c r="P195" s="48"/>
      <c r="S195" s="1" t="s">
        <v>143</v>
      </c>
      <c r="U195" s="1" t="s">
        <v>143</v>
      </c>
      <c r="V195" s="36"/>
      <c r="W195" s="1" t="s">
        <v>143</v>
      </c>
      <c r="X195" s="37"/>
      <c r="Z195" s="1" t="s">
        <v>143</v>
      </c>
      <c r="AB195" s="47"/>
      <c r="AD195" s="1" t="s">
        <v>143</v>
      </c>
      <c r="AE195" s="48"/>
      <c r="AF195" s="39">
        <f t="shared" si="2"/>
        <v>0</v>
      </c>
    </row>
    <row r="196" spans="4:32" ht="15.75" thickBot="1" x14ac:dyDescent="0.3">
      <c r="D196" s="1" t="s">
        <v>143</v>
      </c>
      <c r="F196" s="1" t="s">
        <v>143</v>
      </c>
      <c r="H196" s="1" t="s">
        <v>143</v>
      </c>
      <c r="K196" s="1" t="s">
        <v>143</v>
      </c>
      <c r="M196" s="1"/>
      <c r="P196" s="34" t="s">
        <v>143</v>
      </c>
      <c r="S196" s="1" t="s">
        <v>143</v>
      </c>
      <c r="U196" s="1" t="s">
        <v>143</v>
      </c>
      <c r="V196" s="36"/>
      <c r="W196" s="1" t="s">
        <v>143</v>
      </c>
      <c r="X196" s="37"/>
      <c r="Z196" s="1" t="s">
        <v>143</v>
      </c>
      <c r="AE196" s="34" t="s">
        <v>143</v>
      </c>
      <c r="AF196" s="39">
        <f t="shared" si="2"/>
        <v>0</v>
      </c>
    </row>
    <row r="197" spans="4:32" ht="15.75" thickBot="1" x14ac:dyDescent="0.3">
      <c r="D197" s="1" t="s">
        <v>143</v>
      </c>
      <c r="F197" s="1" t="s">
        <v>143</v>
      </c>
      <c r="H197" s="1" t="s">
        <v>143</v>
      </c>
      <c r="L197" s="1" t="s">
        <v>143</v>
      </c>
      <c r="M197" s="1"/>
      <c r="N197" s="1" t="s">
        <v>143</v>
      </c>
      <c r="P197" s="34"/>
      <c r="S197" s="1" t="s">
        <v>143</v>
      </c>
      <c r="U197" s="1" t="s">
        <v>143</v>
      </c>
      <c r="V197" s="36"/>
      <c r="W197" s="1" t="s">
        <v>143</v>
      </c>
      <c r="X197" s="37"/>
      <c r="AA197" s="1" t="s">
        <v>143</v>
      </c>
      <c r="AC197" s="1" t="s">
        <v>143</v>
      </c>
      <c r="AE197" s="34"/>
      <c r="AF197" s="39">
        <f t="shared" si="2"/>
        <v>0</v>
      </c>
    </row>
    <row r="198" spans="4:32" ht="15.75" thickBot="1" x14ac:dyDescent="0.3">
      <c r="D198" s="1" t="s">
        <v>143</v>
      </c>
      <c r="F198" s="1" t="s">
        <v>143</v>
      </c>
      <c r="H198" s="1" t="s">
        <v>143</v>
      </c>
      <c r="L198" s="1" t="s">
        <v>143</v>
      </c>
      <c r="M198" s="1"/>
      <c r="O198" s="1" t="s">
        <v>143</v>
      </c>
      <c r="P198" s="34"/>
      <c r="S198" s="1" t="s">
        <v>143</v>
      </c>
      <c r="U198" s="1" t="s">
        <v>143</v>
      </c>
      <c r="V198" s="36"/>
      <c r="W198" s="1" t="s">
        <v>143</v>
      </c>
      <c r="X198" s="37"/>
      <c r="AA198" s="1" t="s">
        <v>143</v>
      </c>
      <c r="AD198" s="1" t="s">
        <v>143</v>
      </c>
      <c r="AE198" s="34"/>
      <c r="AF198" s="39">
        <f t="shared" ref="AF198:AF247" si="3">+AVERAGEIF(B198:AE198,"=X",$B$4:$AE$4)</f>
        <v>0</v>
      </c>
    </row>
    <row r="199" spans="4:32" ht="15.75" thickBot="1" x14ac:dyDescent="0.3">
      <c r="D199" s="1" t="s">
        <v>143</v>
      </c>
      <c r="F199" s="1" t="s">
        <v>143</v>
      </c>
      <c r="H199" s="1" t="s">
        <v>143</v>
      </c>
      <c r="L199" s="1" t="s">
        <v>143</v>
      </c>
      <c r="M199" s="1"/>
      <c r="P199" s="34" t="s">
        <v>143</v>
      </c>
      <c r="S199" s="1" t="s">
        <v>143</v>
      </c>
      <c r="U199" s="1" t="s">
        <v>143</v>
      </c>
      <c r="V199" s="36"/>
      <c r="W199" s="1" t="s">
        <v>143</v>
      </c>
      <c r="X199" s="37"/>
      <c r="AA199" s="1" t="s">
        <v>143</v>
      </c>
      <c r="AE199" s="34" t="s">
        <v>143</v>
      </c>
      <c r="AF199" s="39">
        <f t="shared" si="3"/>
        <v>0</v>
      </c>
    </row>
    <row r="200" spans="4:32" ht="15.75" thickBot="1" x14ac:dyDescent="0.3">
      <c r="D200" s="1" t="s">
        <v>143</v>
      </c>
      <c r="F200" s="1" t="s">
        <v>143</v>
      </c>
      <c r="H200" s="1" t="s">
        <v>143</v>
      </c>
      <c r="M200" s="1" t="s">
        <v>143</v>
      </c>
      <c r="N200" s="1" t="s">
        <v>143</v>
      </c>
      <c r="P200" s="34"/>
      <c r="S200" s="1" t="s">
        <v>143</v>
      </c>
      <c r="U200" s="1" t="s">
        <v>143</v>
      </c>
      <c r="V200" s="36"/>
      <c r="W200" s="1" t="s">
        <v>143</v>
      </c>
      <c r="X200" s="37"/>
      <c r="AB200" s="1" t="s">
        <v>143</v>
      </c>
      <c r="AC200" s="1" t="s">
        <v>143</v>
      </c>
      <c r="AE200" s="34"/>
      <c r="AF200" s="39">
        <f t="shared" si="3"/>
        <v>0</v>
      </c>
    </row>
    <row r="201" spans="4:32" ht="15.75" thickBot="1" x14ac:dyDescent="0.3">
      <c r="D201" s="1" t="s">
        <v>143</v>
      </c>
      <c r="F201" s="1" t="s">
        <v>143</v>
      </c>
      <c r="H201" s="1" t="s">
        <v>143</v>
      </c>
      <c r="M201" s="1" t="s">
        <v>143</v>
      </c>
      <c r="O201" s="1" t="s">
        <v>143</v>
      </c>
      <c r="P201" s="34"/>
      <c r="S201" s="1" t="s">
        <v>143</v>
      </c>
      <c r="U201" s="1" t="s">
        <v>143</v>
      </c>
      <c r="V201" s="36"/>
      <c r="W201" s="1" t="s">
        <v>143</v>
      </c>
      <c r="X201" s="37"/>
      <c r="AB201" s="1" t="s">
        <v>143</v>
      </c>
      <c r="AD201" s="1" t="s">
        <v>143</v>
      </c>
      <c r="AE201" s="34"/>
      <c r="AF201" s="39">
        <f t="shared" si="3"/>
        <v>0</v>
      </c>
    </row>
    <row r="202" spans="4:32" ht="15.75" thickBot="1" x14ac:dyDescent="0.3">
      <c r="D202" s="1" t="s">
        <v>143</v>
      </c>
      <c r="F202" s="1" t="s">
        <v>143</v>
      </c>
      <c r="H202" s="1" t="s">
        <v>143</v>
      </c>
      <c r="M202" s="1" t="s">
        <v>143</v>
      </c>
      <c r="P202" s="34" t="s">
        <v>143</v>
      </c>
      <c r="S202" s="1" t="s">
        <v>143</v>
      </c>
      <c r="U202" s="1" t="s">
        <v>143</v>
      </c>
      <c r="V202" s="36"/>
      <c r="W202" s="1" t="s">
        <v>143</v>
      </c>
      <c r="X202" s="37"/>
      <c r="AB202" s="1" t="s">
        <v>143</v>
      </c>
      <c r="AE202" s="34" t="s">
        <v>143</v>
      </c>
      <c r="AF202" s="39">
        <f t="shared" si="3"/>
        <v>0</v>
      </c>
    </row>
    <row r="203" spans="4:32" ht="15.75" thickBot="1" x14ac:dyDescent="0.3">
      <c r="D203" s="1" t="s">
        <v>143</v>
      </c>
      <c r="F203" s="1" t="s">
        <v>143</v>
      </c>
      <c r="I203" s="1" t="s">
        <v>143</v>
      </c>
      <c r="K203" s="1" t="s">
        <v>143</v>
      </c>
      <c r="N203" s="1" t="s">
        <v>143</v>
      </c>
      <c r="S203" s="1" t="s">
        <v>143</v>
      </c>
      <c r="U203" s="1" t="s">
        <v>143</v>
      </c>
      <c r="V203" s="36"/>
      <c r="X203" s="1" t="s">
        <v>143</v>
      </c>
      <c r="Z203" s="1" t="s">
        <v>143</v>
      </c>
      <c r="AB203" s="37"/>
      <c r="AC203" s="1" t="s">
        <v>143</v>
      </c>
      <c r="AE203" s="36"/>
      <c r="AF203" s="39">
        <f t="shared" si="3"/>
        <v>0</v>
      </c>
    </row>
    <row r="204" spans="4:32" ht="15.75" thickBot="1" x14ac:dyDescent="0.3">
      <c r="D204" s="1" t="s">
        <v>143</v>
      </c>
      <c r="F204" s="1" t="s">
        <v>143</v>
      </c>
      <c r="I204" s="1" t="s">
        <v>143</v>
      </c>
      <c r="K204" s="1" t="s">
        <v>143</v>
      </c>
      <c r="M204" s="47"/>
      <c r="O204" s="1" t="s">
        <v>143</v>
      </c>
      <c r="P204" s="48"/>
      <c r="S204" s="1" t="s">
        <v>143</v>
      </c>
      <c r="U204" s="1" t="s">
        <v>143</v>
      </c>
      <c r="V204" s="36"/>
      <c r="X204" s="1" t="s">
        <v>143</v>
      </c>
      <c r="Z204" s="1" t="s">
        <v>143</v>
      </c>
      <c r="AB204" s="47"/>
      <c r="AD204" s="1" t="s">
        <v>143</v>
      </c>
      <c r="AE204" s="48"/>
      <c r="AF204" s="39">
        <f t="shared" si="3"/>
        <v>0</v>
      </c>
    </row>
    <row r="205" spans="4:32" ht="15.75" thickBot="1" x14ac:dyDescent="0.3">
      <c r="D205" s="1" t="s">
        <v>143</v>
      </c>
      <c r="F205" s="1" t="s">
        <v>143</v>
      </c>
      <c r="I205" s="1" t="s">
        <v>143</v>
      </c>
      <c r="K205" s="1" t="s">
        <v>143</v>
      </c>
      <c r="M205" s="1"/>
      <c r="P205" s="34" t="s">
        <v>143</v>
      </c>
      <c r="S205" s="1" t="s">
        <v>143</v>
      </c>
      <c r="U205" s="1" t="s">
        <v>143</v>
      </c>
      <c r="V205" s="36"/>
      <c r="X205" s="1" t="s">
        <v>143</v>
      </c>
      <c r="Z205" s="1" t="s">
        <v>143</v>
      </c>
      <c r="AE205" s="34" t="s">
        <v>143</v>
      </c>
      <c r="AF205" s="39">
        <f t="shared" si="3"/>
        <v>0</v>
      </c>
    </row>
    <row r="206" spans="4:32" ht="15.75" thickBot="1" x14ac:dyDescent="0.3">
      <c r="D206" s="1" t="s">
        <v>143</v>
      </c>
      <c r="F206" s="1" t="s">
        <v>143</v>
      </c>
      <c r="I206" s="1" t="s">
        <v>143</v>
      </c>
      <c r="L206" s="1" t="s">
        <v>143</v>
      </c>
      <c r="M206" s="1"/>
      <c r="N206" s="1" t="s">
        <v>143</v>
      </c>
      <c r="P206" s="34"/>
      <c r="S206" s="1" t="s">
        <v>143</v>
      </c>
      <c r="U206" s="1" t="s">
        <v>143</v>
      </c>
      <c r="V206" s="36"/>
      <c r="X206" s="1" t="s">
        <v>143</v>
      </c>
      <c r="AA206" s="1" t="s">
        <v>143</v>
      </c>
      <c r="AC206" s="1" t="s">
        <v>143</v>
      </c>
      <c r="AE206" s="34"/>
      <c r="AF206" s="39">
        <f t="shared" si="3"/>
        <v>0</v>
      </c>
    </row>
    <row r="207" spans="4:32" ht="15.75" thickBot="1" x14ac:dyDescent="0.3">
      <c r="D207" s="1" t="s">
        <v>143</v>
      </c>
      <c r="F207" s="1" t="s">
        <v>143</v>
      </c>
      <c r="I207" s="1" t="s">
        <v>143</v>
      </c>
      <c r="L207" s="1" t="s">
        <v>143</v>
      </c>
      <c r="M207" s="1"/>
      <c r="O207" s="1" t="s">
        <v>143</v>
      </c>
      <c r="P207" s="34"/>
      <c r="S207" s="1" t="s">
        <v>143</v>
      </c>
      <c r="U207" s="1" t="s">
        <v>143</v>
      </c>
      <c r="V207" s="36"/>
      <c r="X207" s="1" t="s">
        <v>143</v>
      </c>
      <c r="AA207" s="1" t="s">
        <v>143</v>
      </c>
      <c r="AD207" s="1" t="s">
        <v>143</v>
      </c>
      <c r="AE207" s="34"/>
      <c r="AF207" s="39">
        <f t="shared" si="3"/>
        <v>0</v>
      </c>
    </row>
    <row r="208" spans="4:32" ht="15.75" thickBot="1" x14ac:dyDescent="0.3">
      <c r="D208" s="1" t="s">
        <v>143</v>
      </c>
      <c r="F208" s="1" t="s">
        <v>143</v>
      </c>
      <c r="I208" s="1" t="s">
        <v>143</v>
      </c>
      <c r="L208" s="1" t="s">
        <v>143</v>
      </c>
      <c r="M208" s="1"/>
      <c r="P208" s="34" t="s">
        <v>143</v>
      </c>
      <c r="S208" s="1" t="s">
        <v>143</v>
      </c>
      <c r="U208" s="1" t="s">
        <v>143</v>
      </c>
      <c r="V208" s="36"/>
      <c r="X208" s="1" t="s">
        <v>143</v>
      </c>
      <c r="AA208" s="1" t="s">
        <v>143</v>
      </c>
      <c r="AE208" s="34" t="s">
        <v>143</v>
      </c>
      <c r="AF208" s="39">
        <f t="shared" si="3"/>
        <v>0</v>
      </c>
    </row>
    <row r="209" spans="4:32" ht="15.75" thickBot="1" x14ac:dyDescent="0.3">
      <c r="D209" s="1" t="s">
        <v>143</v>
      </c>
      <c r="F209" s="1" t="s">
        <v>143</v>
      </c>
      <c r="I209" s="1" t="s">
        <v>143</v>
      </c>
      <c r="M209" s="1" t="s">
        <v>143</v>
      </c>
      <c r="N209" s="1" t="s">
        <v>143</v>
      </c>
      <c r="P209" s="34"/>
      <c r="S209" s="1" t="s">
        <v>143</v>
      </c>
      <c r="U209" s="1" t="s">
        <v>143</v>
      </c>
      <c r="V209" s="36"/>
      <c r="X209" s="1" t="s">
        <v>143</v>
      </c>
      <c r="AB209" s="1" t="s">
        <v>143</v>
      </c>
      <c r="AC209" s="1" t="s">
        <v>143</v>
      </c>
      <c r="AE209" s="34"/>
      <c r="AF209" s="39">
        <f t="shared" si="3"/>
        <v>0</v>
      </c>
    </row>
    <row r="210" spans="4:32" ht="15.75" thickBot="1" x14ac:dyDescent="0.3">
      <c r="D210" s="1" t="s">
        <v>143</v>
      </c>
      <c r="F210" s="1" t="s">
        <v>143</v>
      </c>
      <c r="I210" s="1" t="s">
        <v>143</v>
      </c>
      <c r="M210" s="1" t="s">
        <v>143</v>
      </c>
      <c r="O210" s="1" t="s">
        <v>143</v>
      </c>
      <c r="P210" s="34"/>
      <c r="S210" s="1" t="s">
        <v>143</v>
      </c>
      <c r="U210" s="1" t="s">
        <v>143</v>
      </c>
      <c r="V210" s="36"/>
      <c r="X210" s="1" t="s">
        <v>143</v>
      </c>
      <c r="AB210" s="1" t="s">
        <v>143</v>
      </c>
      <c r="AD210" s="1" t="s">
        <v>143</v>
      </c>
      <c r="AE210" s="34"/>
      <c r="AF210" s="39">
        <f t="shared" si="3"/>
        <v>0</v>
      </c>
    </row>
    <row r="211" spans="4:32" ht="15.75" thickBot="1" x14ac:dyDescent="0.3">
      <c r="D211" s="1" t="s">
        <v>143</v>
      </c>
      <c r="F211" s="1" t="s">
        <v>143</v>
      </c>
      <c r="I211" s="1" t="s">
        <v>143</v>
      </c>
      <c r="M211" s="1" t="s">
        <v>143</v>
      </c>
      <c r="P211" s="34" t="s">
        <v>143</v>
      </c>
      <c r="S211" s="1" t="s">
        <v>143</v>
      </c>
      <c r="U211" s="1" t="s">
        <v>143</v>
      </c>
      <c r="V211" s="36"/>
      <c r="X211" s="1" t="s">
        <v>143</v>
      </c>
      <c r="AB211" s="1" t="s">
        <v>143</v>
      </c>
      <c r="AE211" s="34" t="s">
        <v>143</v>
      </c>
      <c r="AF211" s="39">
        <f t="shared" si="3"/>
        <v>0</v>
      </c>
    </row>
    <row r="212" spans="4:32" ht="15.75" thickBot="1" x14ac:dyDescent="0.3">
      <c r="D212" s="1" t="s">
        <v>143</v>
      </c>
      <c r="F212" s="1" t="s">
        <v>143</v>
      </c>
      <c r="J212" s="1" t="s">
        <v>143</v>
      </c>
      <c r="K212" s="1" t="s">
        <v>143</v>
      </c>
      <c r="N212" s="1" t="s">
        <v>143</v>
      </c>
      <c r="S212" s="1" t="s">
        <v>143</v>
      </c>
      <c r="U212" s="1" t="s">
        <v>143</v>
      </c>
      <c r="V212" s="36"/>
      <c r="X212" s="37"/>
      <c r="Y212" s="1" t="s">
        <v>143</v>
      </c>
      <c r="Z212" s="1" t="s">
        <v>143</v>
      </c>
      <c r="AB212" s="37"/>
      <c r="AC212" s="1" t="s">
        <v>143</v>
      </c>
      <c r="AE212" s="36"/>
      <c r="AF212" s="39">
        <f t="shared" si="3"/>
        <v>0</v>
      </c>
    </row>
    <row r="213" spans="4:32" ht="15.75" thickBot="1" x14ac:dyDescent="0.3">
      <c r="D213" s="1" t="s">
        <v>143</v>
      </c>
      <c r="F213" s="1" t="s">
        <v>143</v>
      </c>
      <c r="J213" s="1" t="s">
        <v>143</v>
      </c>
      <c r="K213" s="1" t="s">
        <v>143</v>
      </c>
      <c r="M213" s="47"/>
      <c r="O213" s="1" t="s">
        <v>143</v>
      </c>
      <c r="P213" s="48"/>
      <c r="S213" s="1" t="s">
        <v>143</v>
      </c>
      <c r="U213" s="1" t="s">
        <v>143</v>
      </c>
      <c r="V213" s="36"/>
      <c r="X213" s="37"/>
      <c r="Y213" s="1" t="s">
        <v>143</v>
      </c>
      <c r="Z213" s="1" t="s">
        <v>143</v>
      </c>
      <c r="AB213" s="47"/>
      <c r="AD213" s="1" t="s">
        <v>143</v>
      </c>
      <c r="AE213" s="48"/>
      <c r="AF213" s="39">
        <f t="shared" si="3"/>
        <v>0</v>
      </c>
    </row>
    <row r="214" spans="4:32" ht="15.75" thickBot="1" x14ac:dyDescent="0.3">
      <c r="D214" s="1" t="s">
        <v>143</v>
      </c>
      <c r="F214" s="1" t="s">
        <v>143</v>
      </c>
      <c r="J214" s="1" t="s">
        <v>143</v>
      </c>
      <c r="K214" s="1" t="s">
        <v>143</v>
      </c>
      <c r="M214" s="1"/>
      <c r="P214" s="34" t="s">
        <v>143</v>
      </c>
      <c r="S214" s="1" t="s">
        <v>143</v>
      </c>
      <c r="U214" s="1" t="s">
        <v>143</v>
      </c>
      <c r="V214" s="36"/>
      <c r="X214" s="37"/>
      <c r="Y214" s="1" t="s">
        <v>143</v>
      </c>
      <c r="Z214" s="1" t="s">
        <v>143</v>
      </c>
      <c r="AE214" s="34" t="s">
        <v>143</v>
      </c>
      <c r="AF214" s="39">
        <f t="shared" si="3"/>
        <v>0</v>
      </c>
    </row>
    <row r="215" spans="4:32" ht="15.75" thickBot="1" x14ac:dyDescent="0.3">
      <c r="D215" s="1" t="s">
        <v>143</v>
      </c>
      <c r="F215" s="1" t="s">
        <v>143</v>
      </c>
      <c r="J215" s="1" t="s">
        <v>143</v>
      </c>
      <c r="L215" s="1" t="s">
        <v>143</v>
      </c>
      <c r="M215" s="1"/>
      <c r="N215" s="1" t="s">
        <v>143</v>
      </c>
      <c r="P215" s="34"/>
      <c r="S215" s="1" t="s">
        <v>143</v>
      </c>
      <c r="U215" s="1" t="s">
        <v>143</v>
      </c>
      <c r="V215" s="36"/>
      <c r="X215" s="37"/>
      <c r="Y215" s="1" t="s">
        <v>143</v>
      </c>
      <c r="AA215" s="1" t="s">
        <v>143</v>
      </c>
      <c r="AC215" s="1" t="s">
        <v>143</v>
      </c>
      <c r="AE215" s="34"/>
      <c r="AF215" s="39">
        <f t="shared" si="3"/>
        <v>0</v>
      </c>
    </row>
    <row r="216" spans="4:32" ht="15.75" thickBot="1" x14ac:dyDescent="0.3">
      <c r="D216" s="1" t="s">
        <v>143</v>
      </c>
      <c r="F216" s="1" t="s">
        <v>143</v>
      </c>
      <c r="J216" s="1" t="s">
        <v>143</v>
      </c>
      <c r="L216" s="1" t="s">
        <v>143</v>
      </c>
      <c r="M216" s="1"/>
      <c r="O216" s="1" t="s">
        <v>143</v>
      </c>
      <c r="P216" s="34"/>
      <c r="S216" s="1" t="s">
        <v>143</v>
      </c>
      <c r="U216" s="1" t="s">
        <v>143</v>
      </c>
      <c r="V216" s="36"/>
      <c r="X216" s="37"/>
      <c r="Y216" s="1" t="s">
        <v>143</v>
      </c>
      <c r="AA216" s="1" t="s">
        <v>143</v>
      </c>
      <c r="AD216" s="1" t="s">
        <v>143</v>
      </c>
      <c r="AE216" s="34"/>
      <c r="AF216" s="39">
        <f t="shared" si="3"/>
        <v>0</v>
      </c>
    </row>
    <row r="217" spans="4:32" ht="15.75" thickBot="1" x14ac:dyDescent="0.3">
      <c r="D217" s="1" t="s">
        <v>143</v>
      </c>
      <c r="F217" s="1" t="s">
        <v>143</v>
      </c>
      <c r="J217" s="1" t="s">
        <v>143</v>
      </c>
      <c r="L217" s="1" t="s">
        <v>143</v>
      </c>
      <c r="M217" s="1"/>
      <c r="P217" s="34" t="s">
        <v>143</v>
      </c>
      <c r="S217" s="1" t="s">
        <v>143</v>
      </c>
      <c r="U217" s="1" t="s">
        <v>143</v>
      </c>
      <c r="V217" s="36"/>
      <c r="X217" s="37"/>
      <c r="Y217" s="1" t="s">
        <v>143</v>
      </c>
      <c r="AA217" s="1" t="s">
        <v>143</v>
      </c>
      <c r="AE217" s="34" t="s">
        <v>143</v>
      </c>
      <c r="AF217" s="39">
        <f t="shared" si="3"/>
        <v>0</v>
      </c>
    </row>
    <row r="218" spans="4:32" ht="15.75" thickBot="1" x14ac:dyDescent="0.3">
      <c r="D218" s="1" t="s">
        <v>143</v>
      </c>
      <c r="F218" s="1" t="s">
        <v>143</v>
      </c>
      <c r="J218" s="1" t="s">
        <v>143</v>
      </c>
      <c r="M218" s="1" t="s">
        <v>143</v>
      </c>
      <c r="N218" s="1" t="s">
        <v>143</v>
      </c>
      <c r="P218" s="34"/>
      <c r="S218" s="1" t="s">
        <v>143</v>
      </c>
      <c r="U218" s="1" t="s">
        <v>143</v>
      </c>
      <c r="V218" s="36"/>
      <c r="X218" s="37"/>
      <c r="Y218" s="1" t="s">
        <v>143</v>
      </c>
      <c r="AB218" s="1" t="s">
        <v>143</v>
      </c>
      <c r="AC218" s="1" t="s">
        <v>143</v>
      </c>
      <c r="AE218" s="34"/>
      <c r="AF218" s="39">
        <f t="shared" si="3"/>
        <v>0</v>
      </c>
    </row>
    <row r="219" spans="4:32" ht="15.75" thickBot="1" x14ac:dyDescent="0.3">
      <c r="D219" s="1" t="s">
        <v>143</v>
      </c>
      <c r="F219" s="1" t="s">
        <v>143</v>
      </c>
      <c r="J219" s="1" t="s">
        <v>143</v>
      </c>
      <c r="M219" s="1" t="s">
        <v>143</v>
      </c>
      <c r="O219" s="1" t="s">
        <v>143</v>
      </c>
      <c r="P219" s="34"/>
      <c r="S219" s="1" t="s">
        <v>143</v>
      </c>
      <c r="U219" s="1" t="s">
        <v>143</v>
      </c>
      <c r="V219" s="36"/>
      <c r="X219" s="37"/>
      <c r="Y219" s="1" t="s">
        <v>143</v>
      </c>
      <c r="AB219" s="1" t="s">
        <v>143</v>
      </c>
      <c r="AD219" s="1" t="s">
        <v>143</v>
      </c>
      <c r="AE219" s="34"/>
      <c r="AF219" s="39">
        <f t="shared" si="3"/>
        <v>0</v>
      </c>
    </row>
    <row r="220" spans="4:32" ht="15.75" thickBot="1" x14ac:dyDescent="0.3">
      <c r="D220" s="1" t="s">
        <v>143</v>
      </c>
      <c r="F220" s="1" t="s">
        <v>143</v>
      </c>
      <c r="J220" s="1" t="s">
        <v>143</v>
      </c>
      <c r="M220" s="1" t="s">
        <v>143</v>
      </c>
      <c r="P220" s="34" t="s">
        <v>143</v>
      </c>
      <c r="S220" s="1" t="s">
        <v>143</v>
      </c>
      <c r="U220" s="1" t="s">
        <v>143</v>
      </c>
      <c r="V220" s="36"/>
      <c r="X220" s="37"/>
      <c r="Y220" s="1" t="s">
        <v>143</v>
      </c>
      <c r="AB220" s="1" t="s">
        <v>143</v>
      </c>
      <c r="AE220" s="34" t="s">
        <v>143</v>
      </c>
      <c r="AF220" s="39">
        <f t="shared" si="3"/>
        <v>0</v>
      </c>
    </row>
    <row r="221" spans="4:32" ht="15.75" thickBot="1" x14ac:dyDescent="0.3">
      <c r="D221" s="1" t="s">
        <v>143</v>
      </c>
      <c r="G221" s="1" t="s">
        <v>143</v>
      </c>
      <c r="H221" s="1" t="s">
        <v>143</v>
      </c>
      <c r="K221" s="1" t="s">
        <v>143</v>
      </c>
      <c r="N221" s="1" t="s">
        <v>143</v>
      </c>
      <c r="S221" s="1" t="s">
        <v>143</v>
      </c>
      <c r="V221" s="1" t="s">
        <v>143</v>
      </c>
      <c r="W221" s="1" t="s">
        <v>143</v>
      </c>
      <c r="X221" s="37"/>
      <c r="Z221" s="1" t="s">
        <v>143</v>
      </c>
      <c r="AB221" s="37"/>
      <c r="AC221" s="1" t="s">
        <v>143</v>
      </c>
      <c r="AE221" s="36"/>
      <c r="AF221" s="39">
        <f t="shared" si="3"/>
        <v>0</v>
      </c>
    </row>
    <row r="222" spans="4:32" ht="15.75" thickBot="1" x14ac:dyDescent="0.3">
      <c r="D222" s="1" t="s">
        <v>143</v>
      </c>
      <c r="G222" s="1" t="s">
        <v>143</v>
      </c>
      <c r="H222" s="1" t="s">
        <v>143</v>
      </c>
      <c r="K222" s="1" t="s">
        <v>143</v>
      </c>
      <c r="M222" s="47"/>
      <c r="O222" s="1" t="s">
        <v>143</v>
      </c>
      <c r="P222" s="48"/>
      <c r="S222" s="1" t="s">
        <v>143</v>
      </c>
      <c r="V222" s="1" t="s">
        <v>143</v>
      </c>
      <c r="W222" s="1" t="s">
        <v>143</v>
      </c>
      <c r="X222" s="37"/>
      <c r="Z222" s="1" t="s">
        <v>143</v>
      </c>
      <c r="AB222" s="47"/>
      <c r="AD222" s="1" t="s">
        <v>143</v>
      </c>
      <c r="AE222" s="48"/>
      <c r="AF222" s="39">
        <f t="shared" si="3"/>
        <v>0</v>
      </c>
    </row>
    <row r="223" spans="4:32" ht="15.75" thickBot="1" x14ac:dyDescent="0.3">
      <c r="D223" s="1" t="s">
        <v>143</v>
      </c>
      <c r="G223" s="1" t="s">
        <v>143</v>
      </c>
      <c r="H223" s="1" t="s">
        <v>143</v>
      </c>
      <c r="K223" s="1" t="s">
        <v>143</v>
      </c>
      <c r="M223" s="1"/>
      <c r="P223" s="34" t="s">
        <v>143</v>
      </c>
      <c r="S223" s="1" t="s">
        <v>143</v>
      </c>
      <c r="V223" s="1" t="s">
        <v>143</v>
      </c>
      <c r="W223" s="1" t="s">
        <v>143</v>
      </c>
      <c r="X223" s="37"/>
      <c r="Z223" s="1" t="s">
        <v>143</v>
      </c>
      <c r="AE223" s="34" t="s">
        <v>143</v>
      </c>
      <c r="AF223" s="39">
        <f t="shared" si="3"/>
        <v>0</v>
      </c>
    </row>
    <row r="224" spans="4:32" ht="15.75" thickBot="1" x14ac:dyDescent="0.3">
      <c r="D224" s="1" t="s">
        <v>143</v>
      </c>
      <c r="G224" s="1" t="s">
        <v>143</v>
      </c>
      <c r="H224" s="1" t="s">
        <v>143</v>
      </c>
      <c r="L224" s="1" t="s">
        <v>143</v>
      </c>
      <c r="M224" s="1"/>
      <c r="N224" s="1" t="s">
        <v>143</v>
      </c>
      <c r="P224" s="34"/>
      <c r="S224" s="1" t="s">
        <v>143</v>
      </c>
      <c r="V224" s="1" t="s">
        <v>143</v>
      </c>
      <c r="W224" s="1" t="s">
        <v>143</v>
      </c>
      <c r="X224" s="37"/>
      <c r="AA224" s="1" t="s">
        <v>143</v>
      </c>
      <c r="AC224" s="1" t="s">
        <v>143</v>
      </c>
      <c r="AE224" s="34"/>
      <c r="AF224" s="39">
        <f t="shared" si="3"/>
        <v>0</v>
      </c>
    </row>
    <row r="225" spans="4:32" ht="15.75" thickBot="1" x14ac:dyDescent="0.3">
      <c r="D225" s="1" t="s">
        <v>143</v>
      </c>
      <c r="G225" s="1" t="s">
        <v>143</v>
      </c>
      <c r="H225" s="1" t="s">
        <v>143</v>
      </c>
      <c r="L225" s="1" t="s">
        <v>143</v>
      </c>
      <c r="M225" s="1"/>
      <c r="O225" s="1" t="s">
        <v>143</v>
      </c>
      <c r="P225" s="34"/>
      <c r="S225" s="1" t="s">
        <v>143</v>
      </c>
      <c r="V225" s="1" t="s">
        <v>143</v>
      </c>
      <c r="W225" s="1" t="s">
        <v>143</v>
      </c>
      <c r="X225" s="37"/>
      <c r="AA225" s="1" t="s">
        <v>143</v>
      </c>
      <c r="AD225" s="1" t="s">
        <v>143</v>
      </c>
      <c r="AE225" s="34"/>
      <c r="AF225" s="39">
        <f t="shared" si="3"/>
        <v>0</v>
      </c>
    </row>
    <row r="226" spans="4:32" ht="15.75" thickBot="1" x14ac:dyDescent="0.3">
      <c r="D226" s="1" t="s">
        <v>143</v>
      </c>
      <c r="G226" s="1" t="s">
        <v>143</v>
      </c>
      <c r="H226" s="1" t="s">
        <v>143</v>
      </c>
      <c r="L226" s="1" t="s">
        <v>143</v>
      </c>
      <c r="M226" s="1"/>
      <c r="P226" s="34" t="s">
        <v>143</v>
      </c>
      <c r="S226" s="1" t="s">
        <v>143</v>
      </c>
      <c r="V226" s="1" t="s">
        <v>143</v>
      </c>
      <c r="W226" s="1" t="s">
        <v>143</v>
      </c>
      <c r="X226" s="37"/>
      <c r="AA226" s="1" t="s">
        <v>143</v>
      </c>
      <c r="AE226" s="34" t="s">
        <v>143</v>
      </c>
      <c r="AF226" s="39">
        <f t="shared" si="3"/>
        <v>0</v>
      </c>
    </row>
    <row r="227" spans="4:32" ht="15.75" thickBot="1" x14ac:dyDescent="0.3">
      <c r="D227" s="1" t="s">
        <v>143</v>
      </c>
      <c r="G227" s="1" t="s">
        <v>143</v>
      </c>
      <c r="H227" s="1" t="s">
        <v>143</v>
      </c>
      <c r="M227" s="1" t="s">
        <v>143</v>
      </c>
      <c r="N227" s="1" t="s">
        <v>143</v>
      </c>
      <c r="P227" s="34"/>
      <c r="S227" s="1" t="s">
        <v>143</v>
      </c>
      <c r="V227" s="1" t="s">
        <v>143</v>
      </c>
      <c r="W227" s="1" t="s">
        <v>143</v>
      </c>
      <c r="X227" s="37"/>
      <c r="AB227" s="1" t="s">
        <v>143</v>
      </c>
      <c r="AC227" s="1" t="s">
        <v>143</v>
      </c>
      <c r="AE227" s="34"/>
      <c r="AF227" s="39">
        <f t="shared" si="3"/>
        <v>0</v>
      </c>
    </row>
    <row r="228" spans="4:32" ht="15.75" thickBot="1" x14ac:dyDescent="0.3">
      <c r="D228" s="1" t="s">
        <v>143</v>
      </c>
      <c r="G228" s="1" t="s">
        <v>143</v>
      </c>
      <c r="H228" s="1" t="s">
        <v>143</v>
      </c>
      <c r="M228" s="1" t="s">
        <v>143</v>
      </c>
      <c r="O228" s="1" t="s">
        <v>143</v>
      </c>
      <c r="P228" s="34"/>
      <c r="S228" s="1" t="s">
        <v>143</v>
      </c>
      <c r="V228" s="1" t="s">
        <v>143</v>
      </c>
      <c r="W228" s="1" t="s">
        <v>143</v>
      </c>
      <c r="X228" s="37"/>
      <c r="AB228" s="1" t="s">
        <v>143</v>
      </c>
      <c r="AD228" s="1" t="s">
        <v>143</v>
      </c>
      <c r="AE228" s="34"/>
      <c r="AF228" s="39">
        <f t="shared" si="3"/>
        <v>0</v>
      </c>
    </row>
    <row r="229" spans="4:32" ht="15.75" thickBot="1" x14ac:dyDescent="0.3">
      <c r="D229" s="1" t="s">
        <v>143</v>
      </c>
      <c r="G229" s="1" t="s">
        <v>143</v>
      </c>
      <c r="H229" s="1" t="s">
        <v>143</v>
      </c>
      <c r="M229" s="1" t="s">
        <v>143</v>
      </c>
      <c r="P229" s="34" t="s">
        <v>143</v>
      </c>
      <c r="S229" s="1" t="s">
        <v>143</v>
      </c>
      <c r="V229" s="1" t="s">
        <v>143</v>
      </c>
      <c r="W229" s="1" t="s">
        <v>143</v>
      </c>
      <c r="X229" s="37"/>
      <c r="AB229" s="1" t="s">
        <v>143</v>
      </c>
      <c r="AE229" s="34" t="s">
        <v>143</v>
      </c>
      <c r="AF229" s="39">
        <f t="shared" si="3"/>
        <v>0</v>
      </c>
    </row>
    <row r="230" spans="4:32" ht="15.75" thickBot="1" x14ac:dyDescent="0.3">
      <c r="D230" s="1" t="s">
        <v>143</v>
      </c>
      <c r="G230" s="1" t="s">
        <v>143</v>
      </c>
      <c r="I230" s="1" t="s">
        <v>143</v>
      </c>
      <c r="K230" s="1" t="s">
        <v>143</v>
      </c>
      <c r="N230" s="1" t="s">
        <v>143</v>
      </c>
      <c r="S230" s="1" t="s">
        <v>143</v>
      </c>
      <c r="V230" s="1" t="s">
        <v>143</v>
      </c>
      <c r="X230" s="1" t="s">
        <v>143</v>
      </c>
      <c r="Z230" s="1" t="s">
        <v>143</v>
      </c>
      <c r="AB230" s="37"/>
      <c r="AC230" s="1" t="s">
        <v>143</v>
      </c>
      <c r="AE230" s="36"/>
      <c r="AF230" s="39">
        <f t="shared" si="3"/>
        <v>0</v>
      </c>
    </row>
    <row r="231" spans="4:32" ht="15.75" thickBot="1" x14ac:dyDescent="0.3">
      <c r="D231" s="1" t="s">
        <v>143</v>
      </c>
      <c r="G231" s="1" t="s">
        <v>143</v>
      </c>
      <c r="I231" s="1" t="s">
        <v>143</v>
      </c>
      <c r="K231" s="1" t="s">
        <v>143</v>
      </c>
      <c r="M231" s="47"/>
      <c r="O231" s="1" t="s">
        <v>143</v>
      </c>
      <c r="P231" s="48"/>
      <c r="S231" s="1" t="s">
        <v>143</v>
      </c>
      <c r="V231" s="1" t="s">
        <v>143</v>
      </c>
      <c r="X231" s="1" t="s">
        <v>143</v>
      </c>
      <c r="Z231" s="1" t="s">
        <v>143</v>
      </c>
      <c r="AB231" s="47"/>
      <c r="AD231" s="1" t="s">
        <v>143</v>
      </c>
      <c r="AE231" s="48"/>
      <c r="AF231" s="39">
        <f t="shared" si="3"/>
        <v>0</v>
      </c>
    </row>
    <row r="232" spans="4:32" ht="15.75" thickBot="1" x14ac:dyDescent="0.3">
      <c r="D232" s="1" t="s">
        <v>143</v>
      </c>
      <c r="G232" s="1" t="s">
        <v>143</v>
      </c>
      <c r="I232" s="1" t="s">
        <v>143</v>
      </c>
      <c r="K232" s="1" t="s">
        <v>143</v>
      </c>
      <c r="M232" s="1"/>
      <c r="P232" s="34" t="s">
        <v>143</v>
      </c>
      <c r="S232" s="1" t="s">
        <v>143</v>
      </c>
      <c r="V232" s="1" t="s">
        <v>143</v>
      </c>
      <c r="X232" s="1" t="s">
        <v>143</v>
      </c>
      <c r="Z232" s="1" t="s">
        <v>143</v>
      </c>
      <c r="AE232" s="34" t="s">
        <v>143</v>
      </c>
      <c r="AF232" s="39">
        <f t="shared" si="3"/>
        <v>0</v>
      </c>
    </row>
    <row r="233" spans="4:32" ht="15.75" thickBot="1" x14ac:dyDescent="0.3">
      <c r="D233" s="1" t="s">
        <v>143</v>
      </c>
      <c r="G233" s="1" t="s">
        <v>143</v>
      </c>
      <c r="I233" s="1" t="s">
        <v>143</v>
      </c>
      <c r="L233" s="1" t="s">
        <v>143</v>
      </c>
      <c r="M233" s="1"/>
      <c r="N233" s="1" t="s">
        <v>143</v>
      </c>
      <c r="P233" s="34"/>
      <c r="S233" s="1" t="s">
        <v>143</v>
      </c>
      <c r="V233" s="1" t="s">
        <v>143</v>
      </c>
      <c r="X233" s="1" t="s">
        <v>143</v>
      </c>
      <c r="AA233" s="1" t="s">
        <v>143</v>
      </c>
      <c r="AC233" s="1" t="s">
        <v>143</v>
      </c>
      <c r="AE233" s="34"/>
      <c r="AF233" s="39">
        <f t="shared" si="3"/>
        <v>0</v>
      </c>
    </row>
    <row r="234" spans="4:32" ht="15.75" thickBot="1" x14ac:dyDescent="0.3">
      <c r="D234" s="1" t="s">
        <v>143</v>
      </c>
      <c r="G234" s="1" t="s">
        <v>143</v>
      </c>
      <c r="I234" s="1" t="s">
        <v>143</v>
      </c>
      <c r="L234" s="1" t="s">
        <v>143</v>
      </c>
      <c r="M234" s="1"/>
      <c r="O234" s="1" t="s">
        <v>143</v>
      </c>
      <c r="P234" s="34"/>
      <c r="S234" s="1" t="s">
        <v>143</v>
      </c>
      <c r="V234" s="1" t="s">
        <v>143</v>
      </c>
      <c r="X234" s="1" t="s">
        <v>143</v>
      </c>
      <c r="AA234" s="1" t="s">
        <v>143</v>
      </c>
      <c r="AD234" s="1" t="s">
        <v>143</v>
      </c>
      <c r="AE234" s="34"/>
      <c r="AF234" s="39">
        <f t="shared" si="3"/>
        <v>0</v>
      </c>
    </row>
    <row r="235" spans="4:32" ht="15.75" thickBot="1" x14ac:dyDescent="0.3">
      <c r="D235" s="1" t="s">
        <v>143</v>
      </c>
      <c r="G235" s="1" t="s">
        <v>143</v>
      </c>
      <c r="I235" s="1" t="s">
        <v>143</v>
      </c>
      <c r="L235" s="1" t="s">
        <v>143</v>
      </c>
      <c r="M235" s="1"/>
      <c r="P235" s="34" t="s">
        <v>143</v>
      </c>
      <c r="S235" s="1" t="s">
        <v>143</v>
      </c>
      <c r="V235" s="1" t="s">
        <v>143</v>
      </c>
      <c r="X235" s="1" t="s">
        <v>143</v>
      </c>
      <c r="AA235" s="1" t="s">
        <v>143</v>
      </c>
      <c r="AE235" s="34" t="s">
        <v>143</v>
      </c>
      <c r="AF235" s="39">
        <f t="shared" si="3"/>
        <v>0</v>
      </c>
    </row>
    <row r="236" spans="4:32" ht="15.75" thickBot="1" x14ac:dyDescent="0.3">
      <c r="D236" s="1" t="s">
        <v>143</v>
      </c>
      <c r="G236" s="1" t="s">
        <v>143</v>
      </c>
      <c r="I236" s="1" t="s">
        <v>143</v>
      </c>
      <c r="M236" s="1" t="s">
        <v>143</v>
      </c>
      <c r="N236" s="1" t="s">
        <v>143</v>
      </c>
      <c r="P236" s="34"/>
      <c r="S236" s="1" t="s">
        <v>143</v>
      </c>
      <c r="V236" s="1" t="s">
        <v>143</v>
      </c>
      <c r="X236" s="1" t="s">
        <v>143</v>
      </c>
      <c r="AB236" s="1" t="s">
        <v>143</v>
      </c>
      <c r="AC236" s="1" t="s">
        <v>143</v>
      </c>
      <c r="AE236" s="34"/>
      <c r="AF236" s="39">
        <f t="shared" si="3"/>
        <v>0</v>
      </c>
    </row>
    <row r="237" spans="4:32" ht="15.75" thickBot="1" x14ac:dyDescent="0.3">
      <c r="D237" s="1" t="s">
        <v>143</v>
      </c>
      <c r="G237" s="1" t="s">
        <v>143</v>
      </c>
      <c r="I237" s="1" t="s">
        <v>143</v>
      </c>
      <c r="M237" s="1" t="s">
        <v>143</v>
      </c>
      <c r="O237" s="1" t="s">
        <v>143</v>
      </c>
      <c r="P237" s="34"/>
      <c r="S237" s="1" t="s">
        <v>143</v>
      </c>
      <c r="V237" s="1" t="s">
        <v>143</v>
      </c>
      <c r="X237" s="1" t="s">
        <v>143</v>
      </c>
      <c r="AB237" s="1" t="s">
        <v>143</v>
      </c>
      <c r="AD237" s="1" t="s">
        <v>143</v>
      </c>
      <c r="AE237" s="34"/>
      <c r="AF237" s="39">
        <f t="shared" si="3"/>
        <v>0</v>
      </c>
    </row>
    <row r="238" spans="4:32" ht="15.75" thickBot="1" x14ac:dyDescent="0.3">
      <c r="D238" s="1" t="s">
        <v>143</v>
      </c>
      <c r="G238" s="1" t="s">
        <v>143</v>
      </c>
      <c r="I238" s="1" t="s">
        <v>143</v>
      </c>
      <c r="M238" s="1" t="s">
        <v>143</v>
      </c>
      <c r="P238" s="34" t="s">
        <v>143</v>
      </c>
      <c r="S238" s="1" t="s">
        <v>143</v>
      </c>
      <c r="V238" s="1" t="s">
        <v>143</v>
      </c>
      <c r="X238" s="1" t="s">
        <v>143</v>
      </c>
      <c r="AB238" s="1" t="s">
        <v>143</v>
      </c>
      <c r="AE238" s="34" t="s">
        <v>143</v>
      </c>
      <c r="AF238" s="39">
        <f t="shared" si="3"/>
        <v>0</v>
      </c>
    </row>
    <row r="239" spans="4:32" ht="15.75" thickBot="1" x14ac:dyDescent="0.3">
      <c r="D239" s="1" t="s">
        <v>143</v>
      </c>
      <c r="G239" s="1" t="s">
        <v>143</v>
      </c>
      <c r="J239" s="1" t="s">
        <v>143</v>
      </c>
      <c r="K239" s="1" t="s">
        <v>143</v>
      </c>
      <c r="N239" s="1" t="s">
        <v>143</v>
      </c>
      <c r="S239" s="1" t="s">
        <v>143</v>
      </c>
      <c r="V239" s="1" t="s">
        <v>143</v>
      </c>
      <c r="X239" s="37"/>
      <c r="Y239" s="1" t="s">
        <v>143</v>
      </c>
      <c r="Z239" s="1" t="s">
        <v>143</v>
      </c>
      <c r="AB239" s="37"/>
      <c r="AC239" s="1" t="s">
        <v>143</v>
      </c>
      <c r="AE239" s="36"/>
      <c r="AF239" s="39">
        <f t="shared" si="3"/>
        <v>0</v>
      </c>
    </row>
    <row r="240" spans="4:32" ht="15.75" thickBot="1" x14ac:dyDescent="0.3">
      <c r="D240" s="1" t="s">
        <v>143</v>
      </c>
      <c r="G240" s="1" t="s">
        <v>143</v>
      </c>
      <c r="J240" s="1" t="s">
        <v>143</v>
      </c>
      <c r="K240" s="1" t="s">
        <v>143</v>
      </c>
      <c r="M240" s="47"/>
      <c r="O240" s="1" t="s">
        <v>143</v>
      </c>
      <c r="P240" s="48"/>
      <c r="S240" s="1" t="s">
        <v>143</v>
      </c>
      <c r="V240" s="1" t="s">
        <v>143</v>
      </c>
      <c r="X240" s="37"/>
      <c r="Y240" s="1" t="s">
        <v>143</v>
      </c>
      <c r="Z240" s="1" t="s">
        <v>143</v>
      </c>
      <c r="AB240" s="47"/>
      <c r="AD240" s="1" t="s">
        <v>143</v>
      </c>
      <c r="AE240" s="48"/>
      <c r="AF240" s="39">
        <f t="shared" si="3"/>
        <v>0</v>
      </c>
    </row>
    <row r="241" spans="4:32" ht="15.75" thickBot="1" x14ac:dyDescent="0.3">
      <c r="D241" s="1" t="s">
        <v>143</v>
      </c>
      <c r="G241" s="1" t="s">
        <v>143</v>
      </c>
      <c r="J241" s="1" t="s">
        <v>143</v>
      </c>
      <c r="K241" s="1" t="s">
        <v>143</v>
      </c>
      <c r="M241" s="1"/>
      <c r="P241" s="34" t="s">
        <v>143</v>
      </c>
      <c r="S241" s="1" t="s">
        <v>143</v>
      </c>
      <c r="V241" s="1" t="s">
        <v>143</v>
      </c>
      <c r="X241" s="37"/>
      <c r="Y241" s="1" t="s">
        <v>143</v>
      </c>
      <c r="Z241" s="1" t="s">
        <v>143</v>
      </c>
      <c r="AE241" s="34" t="s">
        <v>143</v>
      </c>
      <c r="AF241" s="39">
        <f t="shared" si="3"/>
        <v>0</v>
      </c>
    </row>
    <row r="242" spans="4:32" ht="15.75" thickBot="1" x14ac:dyDescent="0.3">
      <c r="D242" s="1" t="s">
        <v>143</v>
      </c>
      <c r="G242" s="1" t="s">
        <v>143</v>
      </c>
      <c r="J242" s="1" t="s">
        <v>143</v>
      </c>
      <c r="L242" s="1" t="s">
        <v>143</v>
      </c>
      <c r="M242" s="1"/>
      <c r="N242" s="1" t="s">
        <v>143</v>
      </c>
      <c r="P242" s="34"/>
      <c r="S242" s="1" t="s">
        <v>143</v>
      </c>
      <c r="V242" s="1" t="s">
        <v>143</v>
      </c>
      <c r="X242" s="37"/>
      <c r="Y242" s="1" t="s">
        <v>143</v>
      </c>
      <c r="AA242" s="1" t="s">
        <v>143</v>
      </c>
      <c r="AC242" s="1" t="s">
        <v>143</v>
      </c>
      <c r="AE242" s="34"/>
      <c r="AF242" s="39">
        <f t="shared" si="3"/>
        <v>0</v>
      </c>
    </row>
    <row r="243" spans="4:32" ht="15.75" thickBot="1" x14ac:dyDescent="0.3">
      <c r="D243" s="1" t="s">
        <v>143</v>
      </c>
      <c r="G243" s="1" t="s">
        <v>143</v>
      </c>
      <c r="J243" s="1" t="s">
        <v>143</v>
      </c>
      <c r="L243" s="1" t="s">
        <v>143</v>
      </c>
      <c r="M243" s="1"/>
      <c r="O243" s="1" t="s">
        <v>143</v>
      </c>
      <c r="P243" s="34"/>
      <c r="S243" s="1" t="s">
        <v>143</v>
      </c>
      <c r="V243" s="1" t="s">
        <v>143</v>
      </c>
      <c r="X243" s="37"/>
      <c r="Y243" s="1" t="s">
        <v>143</v>
      </c>
      <c r="AA243" s="1" t="s">
        <v>143</v>
      </c>
      <c r="AD243" s="1" t="s">
        <v>143</v>
      </c>
      <c r="AE243" s="34"/>
      <c r="AF243" s="39">
        <f t="shared" si="3"/>
        <v>0</v>
      </c>
    </row>
    <row r="244" spans="4:32" ht="15.75" thickBot="1" x14ac:dyDescent="0.3">
      <c r="D244" s="1" t="s">
        <v>143</v>
      </c>
      <c r="G244" s="1" t="s">
        <v>143</v>
      </c>
      <c r="J244" s="1" t="s">
        <v>143</v>
      </c>
      <c r="L244" s="1" t="s">
        <v>143</v>
      </c>
      <c r="M244" s="1"/>
      <c r="P244" s="34" t="s">
        <v>143</v>
      </c>
      <c r="S244" s="1" t="s">
        <v>143</v>
      </c>
      <c r="V244" s="1" t="s">
        <v>143</v>
      </c>
      <c r="X244" s="37"/>
      <c r="Y244" s="1" t="s">
        <v>143</v>
      </c>
      <c r="AA244" s="1" t="s">
        <v>143</v>
      </c>
      <c r="AE244" s="34" t="s">
        <v>143</v>
      </c>
      <c r="AF244" s="39">
        <f t="shared" si="3"/>
        <v>0</v>
      </c>
    </row>
    <row r="245" spans="4:32" ht="15.75" thickBot="1" x14ac:dyDescent="0.3">
      <c r="D245" s="1" t="s">
        <v>143</v>
      </c>
      <c r="G245" s="1" t="s">
        <v>143</v>
      </c>
      <c r="J245" s="1" t="s">
        <v>143</v>
      </c>
      <c r="M245" s="1" t="s">
        <v>143</v>
      </c>
      <c r="N245" s="1" t="s">
        <v>143</v>
      </c>
      <c r="P245" s="34"/>
      <c r="S245" s="1" t="s">
        <v>143</v>
      </c>
      <c r="V245" s="1" t="s">
        <v>143</v>
      </c>
      <c r="X245" s="37"/>
      <c r="Y245" s="1" t="s">
        <v>143</v>
      </c>
      <c r="AB245" s="1" t="s">
        <v>143</v>
      </c>
      <c r="AC245" s="1" t="s">
        <v>143</v>
      </c>
      <c r="AE245" s="34"/>
      <c r="AF245" s="39">
        <f t="shared" si="3"/>
        <v>0</v>
      </c>
    </row>
    <row r="246" spans="4:32" ht="15.75" thickBot="1" x14ac:dyDescent="0.3">
      <c r="D246" s="1" t="s">
        <v>143</v>
      </c>
      <c r="G246" s="1" t="s">
        <v>143</v>
      </c>
      <c r="J246" s="1" t="s">
        <v>143</v>
      </c>
      <c r="M246" s="1" t="s">
        <v>143</v>
      </c>
      <c r="O246" s="1" t="s">
        <v>143</v>
      </c>
      <c r="P246" s="34"/>
      <c r="S246" s="1" t="s">
        <v>143</v>
      </c>
      <c r="V246" s="1" t="s">
        <v>143</v>
      </c>
      <c r="X246" s="37"/>
      <c r="Y246" s="1" t="s">
        <v>143</v>
      </c>
      <c r="AB246" s="1" t="s">
        <v>143</v>
      </c>
      <c r="AD246" s="1" t="s">
        <v>143</v>
      </c>
      <c r="AE246" s="34"/>
      <c r="AF246" s="39">
        <f t="shared" si="3"/>
        <v>0</v>
      </c>
    </row>
    <row r="247" spans="4:32" ht="15.75" thickBot="1" x14ac:dyDescent="0.3">
      <c r="D247" s="1" t="s">
        <v>143</v>
      </c>
      <c r="E247" s="30"/>
      <c r="F247" s="30"/>
      <c r="G247" s="1" t="s">
        <v>143</v>
      </c>
      <c r="J247" s="1" t="s">
        <v>143</v>
      </c>
      <c r="M247" s="1" t="s">
        <v>143</v>
      </c>
      <c r="P247" s="34" t="s">
        <v>143</v>
      </c>
      <c r="S247" s="1" t="s">
        <v>143</v>
      </c>
      <c r="T247" s="30"/>
      <c r="U247" s="30"/>
      <c r="V247" s="1" t="s">
        <v>143</v>
      </c>
      <c r="X247" s="37"/>
      <c r="Y247" s="1" t="s">
        <v>143</v>
      </c>
      <c r="AB247" s="1" t="s">
        <v>143</v>
      </c>
      <c r="AE247" s="34" t="s">
        <v>143</v>
      </c>
      <c r="AF247" s="39">
        <f t="shared" si="3"/>
        <v>0</v>
      </c>
    </row>
  </sheetData>
  <mergeCells count="5">
    <mergeCell ref="A1:AG1"/>
    <mergeCell ref="B2:AE2"/>
    <mergeCell ref="A2:A3"/>
    <mergeCell ref="AF2:AF3"/>
    <mergeCell ref="AG2:AG3"/>
  </mergeCells>
  <conditionalFormatting sqref="AF5:AF247">
    <cfRule type="top10" dxfId="1" priority="1" rank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AJ248"/>
  <sheetViews>
    <sheetView showGridLines="0" showRowColHeaders="0" topLeftCell="B1" zoomScale="90" zoomScaleNormal="90" workbookViewId="0">
      <selection activeCell="C4" sqref="C4"/>
    </sheetView>
  </sheetViews>
  <sheetFormatPr baseColWidth="10" defaultRowHeight="15" x14ac:dyDescent="0.25"/>
  <cols>
    <col min="1" max="1" width="3.140625" customWidth="1"/>
    <col min="2" max="2" width="13.42578125" bestFit="1" customWidth="1"/>
    <col min="3" max="3" width="4.5703125" style="1" customWidth="1"/>
    <col min="4" max="4" width="5.7109375" style="1" customWidth="1"/>
    <col min="5" max="5" width="4.85546875" style="1" customWidth="1"/>
    <col min="6" max="6" width="5" style="1" customWidth="1"/>
    <col min="7" max="7" width="5.28515625" style="1" customWidth="1"/>
    <col min="8" max="8" width="6.5703125" style="36" customWidth="1"/>
    <col min="9" max="9" width="5.5703125" style="1" customWidth="1"/>
    <col min="10" max="10" width="6.140625" style="37" customWidth="1"/>
    <col min="11" max="11" width="6" style="1" customWidth="1"/>
    <col min="12" max="12" width="6.28515625" style="1" customWidth="1"/>
    <col min="13" max="13" width="6.42578125" style="1" customWidth="1"/>
    <col min="14" max="14" width="7.42578125" style="37" customWidth="1"/>
    <col min="15" max="15" width="7.140625" style="1" customWidth="1"/>
    <col min="16" max="16" width="6.5703125" style="1" customWidth="1"/>
    <col min="17" max="17" width="6.5703125" style="36" customWidth="1"/>
    <col min="18" max="18" width="7.140625" style="1" customWidth="1"/>
    <col min="19" max="19" width="6" style="1" customWidth="1"/>
    <col min="20" max="20" width="7" style="1" customWidth="1"/>
    <col min="21" max="31" width="5.5703125" style="1" customWidth="1"/>
    <col min="32" max="32" width="7" style="1" customWidth="1"/>
    <col min="33" max="33" width="17" style="1" customWidth="1"/>
    <col min="34" max="34" width="8.7109375" style="1" customWidth="1"/>
  </cols>
  <sheetData>
    <row r="1" spans="1:36" ht="15.75" thickBot="1" x14ac:dyDescent="0.3"/>
    <row r="2" spans="1:36" ht="19.5" x14ac:dyDescent="0.3">
      <c r="B2" s="167" t="s">
        <v>338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9"/>
    </row>
    <row r="3" spans="1:36" x14ac:dyDescent="0.25">
      <c r="B3" s="51" t="s">
        <v>50</v>
      </c>
      <c r="C3" s="170" t="s">
        <v>3</v>
      </c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170"/>
      <c r="AG3" s="52"/>
      <c r="AH3" s="166" t="s">
        <v>6</v>
      </c>
    </row>
    <row r="4" spans="1:36" x14ac:dyDescent="0.25">
      <c r="B4" s="51" t="s">
        <v>3</v>
      </c>
      <c r="C4" s="44">
        <v>1</v>
      </c>
      <c r="D4" s="44">
        <v>2</v>
      </c>
      <c r="E4" s="44">
        <v>3</v>
      </c>
      <c r="F4" s="44">
        <v>4</v>
      </c>
      <c r="G4" s="44">
        <v>5</v>
      </c>
      <c r="H4" s="44">
        <v>6</v>
      </c>
      <c r="I4" s="44">
        <v>7</v>
      </c>
      <c r="J4" s="44">
        <v>8</v>
      </c>
      <c r="K4" s="44">
        <v>9</v>
      </c>
      <c r="L4" s="44">
        <v>10</v>
      </c>
      <c r="M4" s="44">
        <v>11</v>
      </c>
      <c r="N4" s="44">
        <v>12</v>
      </c>
      <c r="O4" s="44">
        <v>13</v>
      </c>
      <c r="P4" s="44">
        <v>14</v>
      </c>
      <c r="Q4" s="44">
        <v>15</v>
      </c>
      <c r="R4" s="44">
        <v>16</v>
      </c>
      <c r="S4" s="44">
        <v>17</v>
      </c>
      <c r="T4" s="44">
        <v>18</v>
      </c>
      <c r="U4" s="44">
        <v>19</v>
      </c>
      <c r="V4" s="44">
        <v>20</v>
      </c>
      <c r="W4" s="44">
        <v>21</v>
      </c>
      <c r="X4" s="44">
        <v>22</v>
      </c>
      <c r="Y4" s="44">
        <v>23</v>
      </c>
      <c r="Z4" s="44">
        <v>24</v>
      </c>
      <c r="AA4" s="44">
        <v>25</v>
      </c>
      <c r="AB4" s="44">
        <v>26</v>
      </c>
      <c r="AC4" s="44">
        <v>27</v>
      </c>
      <c r="AD4" s="44">
        <v>28</v>
      </c>
      <c r="AE4" s="44">
        <v>29</v>
      </c>
      <c r="AF4" s="44">
        <v>30</v>
      </c>
      <c r="AH4" s="166"/>
    </row>
    <row r="5" spans="1:36" ht="30.75" thickBot="1" x14ac:dyDescent="0.3">
      <c r="B5" s="76" t="s">
        <v>70</v>
      </c>
      <c r="C5" s="77">
        <f>+HIPOTESIS!F4</f>
        <v>0</v>
      </c>
      <c r="D5" s="77">
        <f>+HIPOTESIS!F5</f>
        <v>0</v>
      </c>
      <c r="E5" s="77">
        <f>+HIPOTESIS!F6</f>
        <v>0</v>
      </c>
      <c r="F5" s="77">
        <f>+HIPOTESIS!F7</f>
        <v>0</v>
      </c>
      <c r="G5" s="77">
        <f>+HIPOTESIS!F8</f>
        <v>0</v>
      </c>
      <c r="H5" s="77">
        <f>+HIPOTESIS!F9</f>
        <v>0</v>
      </c>
      <c r="I5" s="77">
        <f>+HIPOTESIS!F10</f>
        <v>0</v>
      </c>
      <c r="J5" s="77">
        <f>+HIPOTESIS!F11</f>
        <v>0</v>
      </c>
      <c r="K5" s="77">
        <f>+HIPOTESIS!F12</f>
        <v>0</v>
      </c>
      <c r="L5" s="77">
        <f>+HIPOTESIS!F13</f>
        <v>0</v>
      </c>
      <c r="M5" s="77">
        <f>+HIPOTESIS!F14</f>
        <v>0</v>
      </c>
      <c r="N5" s="77">
        <f>+HIPOTESIS!F15</f>
        <v>0</v>
      </c>
      <c r="O5" s="77">
        <f>+HIPOTESIS!F16</f>
        <v>0</v>
      </c>
      <c r="P5" s="77">
        <f>+HIPOTESIS!F17</f>
        <v>0</v>
      </c>
      <c r="Q5" s="77">
        <f>+HIPOTESIS!F18</f>
        <v>0</v>
      </c>
      <c r="R5" s="77">
        <f>+HIPOTESIS!F19</f>
        <v>0</v>
      </c>
      <c r="S5" s="77">
        <f>+HIPOTESIS!F20</f>
        <v>0</v>
      </c>
      <c r="T5" s="77">
        <f>+HIPOTESIS!F21</f>
        <v>0</v>
      </c>
      <c r="U5" s="77">
        <f>+HIPOTESIS!F22</f>
        <v>0</v>
      </c>
      <c r="V5" s="77">
        <f>+HIPOTESIS!F23</f>
        <v>0</v>
      </c>
      <c r="W5" s="77">
        <f>+HIPOTESIS!F24</f>
        <v>0</v>
      </c>
      <c r="X5" s="77">
        <f>+HIPOTESIS!F25</f>
        <v>0</v>
      </c>
      <c r="Y5" s="77">
        <f>+HIPOTESIS!F26</f>
        <v>0</v>
      </c>
      <c r="Z5" s="77">
        <f>+HIPOTESIS!F27</f>
        <v>0</v>
      </c>
      <c r="AA5" s="77">
        <f>+HIPOTESIS!F28</f>
        <v>0</v>
      </c>
      <c r="AB5" s="77">
        <f>+HIPOTESIS!F29</f>
        <v>0</v>
      </c>
      <c r="AC5" s="77">
        <f>+HIPOTESIS!F30</f>
        <v>0</v>
      </c>
      <c r="AD5" s="77">
        <f>+HIPOTESIS!F31</f>
        <v>0</v>
      </c>
      <c r="AE5" s="77">
        <f>+HIPOTESIS!F32</f>
        <v>0</v>
      </c>
      <c r="AF5" s="77">
        <f>+HIPOTESIS!F33</f>
        <v>0</v>
      </c>
      <c r="AG5" s="78" t="s">
        <v>5</v>
      </c>
      <c r="AH5" s="79"/>
    </row>
    <row r="6" spans="1:36" x14ac:dyDescent="0.25">
      <c r="A6" s="27">
        <f>+AH6</f>
        <v>1</v>
      </c>
      <c r="B6" s="10" t="s">
        <v>289</v>
      </c>
      <c r="C6" s="74" t="str">
        <f>+IF($C$5=0,"",'4. '!B231)</f>
        <v/>
      </c>
      <c r="D6" s="74" t="str">
        <f>+IF($D$5=0,"",'4. '!C231)</f>
        <v/>
      </c>
      <c r="E6" s="74" t="str">
        <f>+IF($E$5=0,"",'4. '!D231)</f>
        <v/>
      </c>
      <c r="F6" s="74" t="str">
        <f>+IF($F$5=0,"",'4. '!E231)</f>
        <v/>
      </c>
      <c r="G6" s="74" t="str">
        <f>+IF($G$5=0,"",'4. '!F231)</f>
        <v/>
      </c>
      <c r="H6" s="74" t="str">
        <f>+IF($H$5=0,"",'4. '!G231)</f>
        <v/>
      </c>
      <c r="I6" s="74" t="str">
        <f>+IF($I$5=0,"",'4. '!H231)</f>
        <v/>
      </c>
      <c r="J6" s="74" t="str">
        <f>+IF($J$5=0,"",'4. '!I231)</f>
        <v/>
      </c>
      <c r="K6" s="74" t="str">
        <f>+IF($K$5=0,"",'4. '!J231)</f>
        <v/>
      </c>
      <c r="L6" s="74" t="str">
        <f>+IF($L$5=0,"",'4. '!K231)</f>
        <v/>
      </c>
      <c r="M6" s="74" t="str">
        <f>+IF($M$5=0,"",'4. '!L231)</f>
        <v/>
      </c>
      <c r="N6" s="74" t="str">
        <f>+IF($N$5=0,"",'4. '!M231)</f>
        <v/>
      </c>
      <c r="O6" s="74" t="str">
        <f>+IF($O$5=0,"",'4. '!N231)</f>
        <v/>
      </c>
      <c r="P6" s="74" t="str">
        <f>+IF($P$5=0,"",'4. '!O231)</f>
        <v/>
      </c>
      <c r="Q6" s="74" t="str">
        <f>+IF($Q$5=0,"",'4. '!P231)</f>
        <v/>
      </c>
      <c r="R6" s="74" t="str">
        <f>+IF($R$5=0,"",'4. '!Q231)</f>
        <v/>
      </c>
      <c r="S6" s="74" t="str">
        <f>+IF($S$5=0,"",'4. '!R231)</f>
        <v/>
      </c>
      <c r="T6" s="74" t="str">
        <f>+IF($T$5=0,"",'4. '!S231)</f>
        <v/>
      </c>
      <c r="U6" s="74" t="str">
        <f>+IF($U$5=0,"",'4. '!T231)</f>
        <v/>
      </c>
      <c r="V6" s="74" t="str">
        <f>+IF($V$5=0,"",'4. '!U231)</f>
        <v/>
      </c>
      <c r="W6" s="74" t="str">
        <f>+IF($W$5=0,"",'4. '!V231)</f>
        <v/>
      </c>
      <c r="X6" s="74" t="str">
        <f>+IF($X$5=0,"",'4. '!W231)</f>
        <v/>
      </c>
      <c r="Y6" s="74" t="str">
        <f>+IF($Y$5=0,"",'4. '!X231)</f>
        <v/>
      </c>
      <c r="Z6" s="74" t="str">
        <f>+IF($Z$5=0,"",'4. '!Y231)</f>
        <v/>
      </c>
      <c r="AA6" s="74" t="str">
        <f>+IF($AA$5=0,"",'4. '!Z231)</f>
        <v/>
      </c>
      <c r="AB6" s="74" t="str">
        <f>+IF($AB$5=0,"",'4. '!AA231)</f>
        <v/>
      </c>
      <c r="AC6" s="74" t="str">
        <f>+IF($AC$5=0,"",'4. '!AB231)</f>
        <v/>
      </c>
      <c r="AD6" s="74" t="str">
        <f>+IF($AD$5=0,"",'4. '!AC231)</f>
        <v/>
      </c>
      <c r="AE6" s="74" t="str">
        <f>+IF($AE$5=0,"",'4. '!AD231)</f>
        <v/>
      </c>
      <c r="AF6" s="74" t="str">
        <f>+IF($AF$5=0,"",'4. '!AE231)</f>
        <v/>
      </c>
      <c r="AG6" s="49" t="e">
        <f t="shared" ref="AG6:AG69" si="0">+AVERAGEIF(C6:AF6,"=X",$C$5:$AF$5)</f>
        <v>#DIV/0!</v>
      </c>
      <c r="AH6" s="6">
        <v>1</v>
      </c>
    </row>
    <row r="7" spans="1:36" x14ac:dyDescent="0.25">
      <c r="A7" s="27">
        <f t="shared" ref="A7:A20" si="1">+AH7</f>
        <v>2</v>
      </c>
      <c r="B7" s="10" t="s">
        <v>280</v>
      </c>
      <c r="C7" s="42" t="str">
        <f>+IF($C$5=0,"",'4. '!B222)</f>
        <v/>
      </c>
      <c r="D7" s="42" t="str">
        <f>+IF($D$5=0,"",'4. '!C222)</f>
        <v/>
      </c>
      <c r="E7" s="42" t="str">
        <f>+IF($E$5=0,"",'4. '!D222)</f>
        <v/>
      </c>
      <c r="F7" s="42" t="str">
        <f>+IF($F$5=0,"",'4. '!E222)</f>
        <v/>
      </c>
      <c r="G7" s="42" t="str">
        <f>+IF($G$5=0,"",'4. '!F222)</f>
        <v/>
      </c>
      <c r="H7" s="42" t="str">
        <f>+IF($H$5=0,"",'4. '!G222)</f>
        <v/>
      </c>
      <c r="I7" s="42" t="str">
        <f>+IF($I$5=0,"",'4. '!H222)</f>
        <v/>
      </c>
      <c r="J7" s="42" t="str">
        <f>+IF($J$5=0,"",'4. '!I222)</f>
        <v/>
      </c>
      <c r="K7" s="42" t="str">
        <f>+IF($K$5=0,"",'4. '!J222)</f>
        <v/>
      </c>
      <c r="L7" s="42" t="str">
        <f>+IF($L$5=0,"",'4. '!K222)</f>
        <v/>
      </c>
      <c r="M7" s="42" t="str">
        <f>+IF($M$5=0,"",'4. '!L222)</f>
        <v/>
      </c>
      <c r="N7" s="42" t="str">
        <f>+IF($N$5=0,"",'4. '!M222)</f>
        <v/>
      </c>
      <c r="O7" s="42" t="str">
        <f>+IF($O$5=0,"",'4. '!N222)</f>
        <v/>
      </c>
      <c r="P7" s="42" t="str">
        <f>+IF($P$5=0,"",'4. '!O222)</f>
        <v/>
      </c>
      <c r="Q7" s="42" t="str">
        <f>+IF($Q$5=0,"",'4. '!P222)</f>
        <v/>
      </c>
      <c r="R7" s="42" t="str">
        <f>+IF($R$5=0,"",'4. '!Q222)</f>
        <v/>
      </c>
      <c r="S7" s="42" t="str">
        <f>+IF($S$5=0,"",'4. '!R222)</f>
        <v/>
      </c>
      <c r="T7" s="42" t="str">
        <f>+IF($T$5=0,"",'4. '!S222)</f>
        <v/>
      </c>
      <c r="U7" s="42" t="str">
        <f>+IF($U$5=0,"",'4. '!T222)</f>
        <v/>
      </c>
      <c r="V7" s="42" t="str">
        <f>+IF($V$5=0,"",'4. '!U222)</f>
        <v/>
      </c>
      <c r="W7" s="42" t="str">
        <f>+IF($W$5=0,"",'4. '!V222)</f>
        <v/>
      </c>
      <c r="X7" s="42" t="str">
        <f>+IF($X$5=0,"",'4. '!W222)</f>
        <v/>
      </c>
      <c r="Y7" s="42" t="str">
        <f>+IF($Y$5=0,"",'4. '!X222)</f>
        <v/>
      </c>
      <c r="Z7" s="42" t="str">
        <f>+IF($Z$5=0,"",'4. '!Y222)</f>
        <v/>
      </c>
      <c r="AA7" s="42" t="str">
        <f>+IF($AA$5=0,"",'4. '!Z222)</f>
        <v/>
      </c>
      <c r="AB7" s="42" t="str">
        <f>+IF($AB$5=0,"",'4. '!AA222)</f>
        <v/>
      </c>
      <c r="AC7" s="42" t="str">
        <f>+IF($AC$5=0,"",'4. '!AB222)</f>
        <v/>
      </c>
      <c r="AD7" s="42" t="str">
        <f>+IF($AD$5=0,"",'4. '!AC222)</f>
        <v/>
      </c>
      <c r="AE7" s="42" t="str">
        <f>+IF($AE$5=0,"",'4. '!AD222)</f>
        <v/>
      </c>
      <c r="AF7" s="42" t="str">
        <f>+IF($AF$5=0,"",'4. '!AE222)</f>
        <v/>
      </c>
      <c r="AG7" s="49" t="e">
        <f t="shared" si="0"/>
        <v>#DIV/0!</v>
      </c>
      <c r="AH7" s="6">
        <v>2</v>
      </c>
      <c r="AJ7" s="53" t="e">
        <f>+MAX(AG6:AG248)</f>
        <v>#DIV/0!</v>
      </c>
    </row>
    <row r="8" spans="1:36" x14ac:dyDescent="0.25">
      <c r="A8" s="27">
        <f t="shared" si="1"/>
        <v>3</v>
      </c>
      <c r="B8" s="10" t="s">
        <v>298</v>
      </c>
      <c r="C8" s="42" t="str">
        <f>+IF($C$5=0,"",'4. '!B240)</f>
        <v/>
      </c>
      <c r="D8" s="42" t="str">
        <f>+IF($D$5=0,"",'4. '!C240)</f>
        <v/>
      </c>
      <c r="E8" s="42" t="str">
        <f>+IF($E$5=0,"",'4. '!D240)</f>
        <v/>
      </c>
      <c r="F8" s="42" t="str">
        <f>+IF($F$5=0,"",'4. '!E240)</f>
        <v/>
      </c>
      <c r="G8" s="42" t="str">
        <f>+IF($G$5=0,"",'4. '!F240)</f>
        <v/>
      </c>
      <c r="H8" s="42" t="str">
        <f>+IF($H$5=0,"",'4. '!G240)</f>
        <v/>
      </c>
      <c r="I8" s="42" t="str">
        <f>+IF($I$5=0,"",'4. '!H240)</f>
        <v/>
      </c>
      <c r="J8" s="42" t="str">
        <f>+IF($J$5=0,"",'4. '!I240)</f>
        <v/>
      </c>
      <c r="K8" s="42" t="str">
        <f>+IF($K$5=0,"",'4. '!J240)</f>
        <v/>
      </c>
      <c r="L8" s="42" t="str">
        <f>+IF($L$5=0,"",'4. '!K240)</f>
        <v/>
      </c>
      <c r="M8" s="42" t="str">
        <f>+IF($M$5=0,"",'4. '!L240)</f>
        <v/>
      </c>
      <c r="N8" s="42" t="str">
        <f>+IF($N$5=0,"",'4. '!M240)</f>
        <v/>
      </c>
      <c r="O8" s="42" t="str">
        <f>+IF($O$5=0,"",'4. '!N240)</f>
        <v/>
      </c>
      <c r="P8" s="42" t="str">
        <f>+IF($P$5=0,"",'4. '!O240)</f>
        <v/>
      </c>
      <c r="Q8" s="42" t="str">
        <f>+IF($Q$5=0,"",'4. '!P240)</f>
        <v/>
      </c>
      <c r="R8" s="42" t="str">
        <f>+IF($R$5=0,"",'4. '!Q240)</f>
        <v/>
      </c>
      <c r="S8" s="42" t="str">
        <f>+IF($S$5=0,"",'4. '!R240)</f>
        <v/>
      </c>
      <c r="T8" s="42" t="str">
        <f>+IF($T$5=0,"",'4. '!S240)</f>
        <v/>
      </c>
      <c r="U8" s="42" t="str">
        <f>+IF($U$5=0,"",'4. '!T240)</f>
        <v/>
      </c>
      <c r="V8" s="42" t="str">
        <f>+IF($V$5=0,"",'4. '!U240)</f>
        <v/>
      </c>
      <c r="W8" s="42" t="str">
        <f>+IF($W$5=0,"",'4. '!V240)</f>
        <v/>
      </c>
      <c r="X8" s="42" t="str">
        <f>+IF($X$5=0,"",'4. '!W240)</f>
        <v/>
      </c>
      <c r="Y8" s="42" t="str">
        <f>+IF($Y$5=0,"",'4. '!X240)</f>
        <v/>
      </c>
      <c r="Z8" s="42" t="str">
        <f>+IF($Z$5=0,"",'4. '!Y240)</f>
        <v/>
      </c>
      <c r="AA8" s="42" t="str">
        <f>+IF($AA$5=0,"",'4. '!Z240)</f>
        <v/>
      </c>
      <c r="AB8" s="42" t="str">
        <f>+IF($AB$5=0,"",'4. '!AA240)</f>
        <v/>
      </c>
      <c r="AC8" s="42" t="str">
        <f>+IF($AC$5=0,"",'4. '!AB240)</f>
        <v/>
      </c>
      <c r="AD8" s="42" t="str">
        <f>+IF($AD$5=0,"",'4. '!AC240)</f>
        <v/>
      </c>
      <c r="AE8" s="42" t="str">
        <f>+IF($AE$5=0,"",'4. '!AD240)</f>
        <v/>
      </c>
      <c r="AF8" s="42" t="str">
        <f>+IF($AF$5=0,"",'4. '!AE240)</f>
        <v/>
      </c>
      <c r="AG8" s="49" t="e">
        <f t="shared" si="0"/>
        <v>#DIV/0!</v>
      </c>
      <c r="AH8" s="6">
        <v>3</v>
      </c>
    </row>
    <row r="9" spans="1:36" x14ac:dyDescent="0.25">
      <c r="A9" s="27">
        <f t="shared" si="1"/>
        <v>4</v>
      </c>
      <c r="B9" s="10" t="s">
        <v>288</v>
      </c>
      <c r="C9" s="42" t="str">
        <f>+IF($C$5=0,"",'4. '!B230)</f>
        <v/>
      </c>
      <c r="D9" s="42" t="str">
        <f>+IF($D$5=0,"",'4. '!C230)</f>
        <v/>
      </c>
      <c r="E9" s="42" t="str">
        <f>+IF($E$5=0,"",'4. '!D230)</f>
        <v/>
      </c>
      <c r="F9" s="42" t="str">
        <f>+IF($F$5=0,"",'4. '!E230)</f>
        <v/>
      </c>
      <c r="G9" s="42" t="str">
        <f>+IF($G$5=0,"",'4. '!F230)</f>
        <v/>
      </c>
      <c r="H9" s="42" t="str">
        <f>+IF($H$5=0,"",'4. '!G230)</f>
        <v/>
      </c>
      <c r="I9" s="42" t="str">
        <f>+IF($I$5=0,"",'4. '!H230)</f>
        <v/>
      </c>
      <c r="J9" s="42" t="str">
        <f>+IF($J$5=0,"",'4. '!I230)</f>
        <v/>
      </c>
      <c r="K9" s="42" t="str">
        <f>+IF($K$5=0,"",'4. '!J230)</f>
        <v/>
      </c>
      <c r="L9" s="42" t="str">
        <f>+IF($L$5=0,"",'4. '!K230)</f>
        <v/>
      </c>
      <c r="M9" s="42" t="str">
        <f>+IF($M$5=0,"",'4. '!L230)</f>
        <v/>
      </c>
      <c r="N9" s="42" t="str">
        <f>+IF($N$5=0,"",'4. '!M230)</f>
        <v/>
      </c>
      <c r="O9" s="42" t="str">
        <f>+IF($O$5=0,"",'4. '!N230)</f>
        <v/>
      </c>
      <c r="P9" s="42" t="str">
        <f>+IF($P$5=0,"",'4. '!O230)</f>
        <v/>
      </c>
      <c r="Q9" s="42" t="str">
        <f>+IF($Q$5=0,"",'4. '!P230)</f>
        <v/>
      </c>
      <c r="R9" s="42" t="str">
        <f>+IF($R$5=0,"",'4. '!Q230)</f>
        <v/>
      </c>
      <c r="S9" s="42" t="str">
        <f>+IF($S$5=0,"",'4. '!R230)</f>
        <v/>
      </c>
      <c r="T9" s="42" t="str">
        <f>+IF($T$5=0,"",'4. '!S230)</f>
        <v/>
      </c>
      <c r="U9" s="42" t="str">
        <f>+IF($U$5=0,"",'4. '!T230)</f>
        <v/>
      </c>
      <c r="V9" s="42" t="str">
        <f>+IF($V$5=0,"",'4. '!U230)</f>
        <v/>
      </c>
      <c r="W9" s="42" t="str">
        <f>+IF($W$5=0,"",'4. '!V230)</f>
        <v/>
      </c>
      <c r="X9" s="42" t="str">
        <f>+IF($X$5=0,"",'4. '!W230)</f>
        <v/>
      </c>
      <c r="Y9" s="42" t="str">
        <f>+IF($Y$5=0,"",'4. '!X230)</f>
        <v/>
      </c>
      <c r="Z9" s="42" t="str">
        <f>+IF($Z$5=0,"",'4. '!Y230)</f>
        <v/>
      </c>
      <c r="AA9" s="42" t="str">
        <f>+IF($AA$5=0,"",'4. '!Z230)</f>
        <v/>
      </c>
      <c r="AB9" s="42" t="str">
        <f>+IF($AB$5=0,"",'4. '!AA230)</f>
        <v/>
      </c>
      <c r="AC9" s="42" t="str">
        <f>+IF($AC$5=0,"",'4. '!AB230)</f>
        <v/>
      </c>
      <c r="AD9" s="42" t="str">
        <f>+IF($AD$5=0,"",'4. '!AC230)</f>
        <v/>
      </c>
      <c r="AE9" s="42" t="str">
        <f>+IF($AE$5=0,"",'4. '!AD230)</f>
        <v/>
      </c>
      <c r="AF9" s="42" t="str">
        <f>+IF($AF$5=0,"",'4. '!AE230)</f>
        <v/>
      </c>
      <c r="AG9" s="49" t="e">
        <f t="shared" si="0"/>
        <v>#DIV/0!</v>
      </c>
      <c r="AH9" s="6">
        <v>4</v>
      </c>
    </row>
    <row r="10" spans="1:36" x14ac:dyDescent="0.25">
      <c r="A10" s="27">
        <f t="shared" si="1"/>
        <v>5</v>
      </c>
      <c r="B10" s="10" t="s">
        <v>290</v>
      </c>
      <c r="C10" s="42" t="str">
        <f>+IF($C$5=0,"",'4. '!B232)</f>
        <v/>
      </c>
      <c r="D10" s="42" t="str">
        <f>+IF($D$5=0,"",'4. '!C232)</f>
        <v/>
      </c>
      <c r="E10" s="42" t="str">
        <f>+IF($E$5=0,"",'4. '!D232)</f>
        <v/>
      </c>
      <c r="F10" s="42" t="str">
        <f>+IF($F$5=0,"",'4. '!E232)</f>
        <v/>
      </c>
      <c r="G10" s="42" t="str">
        <f>+IF($G$5=0,"",'4. '!F232)</f>
        <v/>
      </c>
      <c r="H10" s="42" t="str">
        <f>+IF($H$5=0,"",'4. '!G232)</f>
        <v/>
      </c>
      <c r="I10" s="42" t="str">
        <f>+IF($I$5=0,"",'4. '!H232)</f>
        <v/>
      </c>
      <c r="J10" s="42" t="str">
        <f>+IF($J$5=0,"",'4. '!I232)</f>
        <v/>
      </c>
      <c r="K10" s="42" t="str">
        <f>+IF($K$5=0,"",'4. '!J232)</f>
        <v/>
      </c>
      <c r="L10" s="42" t="str">
        <f>+IF($L$5=0,"",'4. '!K232)</f>
        <v/>
      </c>
      <c r="M10" s="42" t="str">
        <f>+IF($M$5=0,"",'4. '!L232)</f>
        <v/>
      </c>
      <c r="N10" s="42" t="str">
        <f>+IF($N$5=0,"",'4. '!M232)</f>
        <v/>
      </c>
      <c r="O10" s="42" t="str">
        <f>+IF($O$5=0,"",'4. '!N232)</f>
        <v/>
      </c>
      <c r="P10" s="42" t="str">
        <f>+IF($P$5=0,"",'4. '!O232)</f>
        <v/>
      </c>
      <c r="Q10" s="42" t="str">
        <f>+IF($Q$5=0,"",'4. '!P232)</f>
        <v/>
      </c>
      <c r="R10" s="42" t="str">
        <f>+IF($R$5=0,"",'4. '!Q232)</f>
        <v/>
      </c>
      <c r="S10" s="42" t="str">
        <f>+IF($S$5=0,"",'4. '!R232)</f>
        <v/>
      </c>
      <c r="T10" s="42" t="str">
        <f>+IF($T$5=0,"",'4. '!S232)</f>
        <v/>
      </c>
      <c r="U10" s="42" t="str">
        <f>+IF($U$5=0,"",'4. '!T232)</f>
        <v/>
      </c>
      <c r="V10" s="42" t="str">
        <f>+IF($V$5=0,"",'4. '!U232)</f>
        <v/>
      </c>
      <c r="W10" s="42" t="str">
        <f>+IF($W$5=0,"",'4. '!V232)</f>
        <v/>
      </c>
      <c r="X10" s="42" t="str">
        <f>+IF($X$5=0,"",'4. '!W232)</f>
        <v/>
      </c>
      <c r="Y10" s="42" t="str">
        <f>+IF($Y$5=0,"",'4. '!X232)</f>
        <v/>
      </c>
      <c r="Z10" s="42" t="str">
        <f>+IF($Z$5=0,"",'4. '!Y232)</f>
        <v/>
      </c>
      <c r="AA10" s="42" t="str">
        <f>+IF($AA$5=0,"",'4. '!Z232)</f>
        <v/>
      </c>
      <c r="AB10" s="42" t="str">
        <f>+IF($AB$5=0,"",'4. '!AA232)</f>
        <v/>
      </c>
      <c r="AC10" s="42" t="str">
        <f>+IF($AC$5=0,"",'4. '!AB232)</f>
        <v/>
      </c>
      <c r="AD10" s="42" t="str">
        <f>+IF($AD$5=0,"",'4. '!AC232)</f>
        <v/>
      </c>
      <c r="AE10" s="42" t="str">
        <f>+IF($AE$5=0,"",'4. '!AD232)</f>
        <v/>
      </c>
      <c r="AF10" s="42" t="str">
        <f>+IF($AF$5=0,"",'4. '!AE232)</f>
        <v/>
      </c>
      <c r="AG10" s="49" t="e">
        <f t="shared" si="0"/>
        <v>#DIV/0!</v>
      </c>
      <c r="AH10" s="6">
        <v>5</v>
      </c>
    </row>
    <row r="11" spans="1:36" x14ac:dyDescent="0.25">
      <c r="A11" s="27">
        <f t="shared" si="1"/>
        <v>6</v>
      </c>
      <c r="B11" s="10" t="s">
        <v>295</v>
      </c>
      <c r="C11" s="42" t="str">
        <f>+IF($C$5=0,"",'4. '!B237)</f>
        <v/>
      </c>
      <c r="D11" s="42" t="str">
        <f>+IF($D$5=0,"",'4. '!C237)</f>
        <v/>
      </c>
      <c r="E11" s="42" t="str">
        <f>+IF($E$5=0,"",'4. '!D237)</f>
        <v/>
      </c>
      <c r="F11" s="42" t="str">
        <f>+IF($F$5=0,"",'4. '!E237)</f>
        <v/>
      </c>
      <c r="G11" s="42" t="str">
        <f>+IF($G$5=0,"",'4. '!F237)</f>
        <v/>
      </c>
      <c r="H11" s="42" t="str">
        <f>+IF($H$5=0,"",'4. '!G237)</f>
        <v/>
      </c>
      <c r="I11" s="42" t="str">
        <f>+IF($I$5=0,"",'4. '!H237)</f>
        <v/>
      </c>
      <c r="J11" s="42" t="str">
        <f>+IF($J$5=0,"",'4. '!I237)</f>
        <v/>
      </c>
      <c r="K11" s="42" t="str">
        <f>+IF($K$5=0,"",'4. '!J237)</f>
        <v/>
      </c>
      <c r="L11" s="42" t="str">
        <f>+IF($L$5=0,"",'4. '!K237)</f>
        <v/>
      </c>
      <c r="M11" s="42" t="str">
        <f>+IF($M$5=0,"",'4. '!L237)</f>
        <v/>
      </c>
      <c r="N11" s="42" t="str">
        <f>+IF($N$5=0,"",'4. '!M237)</f>
        <v/>
      </c>
      <c r="O11" s="42" t="str">
        <f>+IF($O$5=0,"",'4. '!N237)</f>
        <v/>
      </c>
      <c r="P11" s="42" t="str">
        <f>+IF($P$5=0,"",'4. '!O237)</f>
        <v/>
      </c>
      <c r="Q11" s="42" t="str">
        <f>+IF($Q$5=0,"",'4. '!P237)</f>
        <v/>
      </c>
      <c r="R11" s="42" t="str">
        <f>+IF($R$5=0,"",'4. '!Q237)</f>
        <v/>
      </c>
      <c r="S11" s="42" t="str">
        <f>+IF($S$5=0,"",'4. '!R237)</f>
        <v/>
      </c>
      <c r="T11" s="42" t="str">
        <f>+IF($T$5=0,"",'4. '!S237)</f>
        <v/>
      </c>
      <c r="U11" s="42" t="str">
        <f>+IF($U$5=0,"",'4. '!T237)</f>
        <v/>
      </c>
      <c r="V11" s="42" t="str">
        <f>+IF($V$5=0,"",'4. '!U237)</f>
        <v/>
      </c>
      <c r="W11" s="42" t="str">
        <f>+IF($W$5=0,"",'4. '!V237)</f>
        <v/>
      </c>
      <c r="X11" s="42" t="str">
        <f>+IF($X$5=0,"",'4. '!W237)</f>
        <v/>
      </c>
      <c r="Y11" s="42" t="str">
        <f>+IF($Y$5=0,"",'4. '!X237)</f>
        <v/>
      </c>
      <c r="Z11" s="42" t="str">
        <f>+IF($Z$5=0,"",'4. '!Y237)</f>
        <v/>
      </c>
      <c r="AA11" s="42" t="str">
        <f>+IF($AA$5=0,"",'4. '!Z237)</f>
        <v/>
      </c>
      <c r="AB11" s="42" t="str">
        <f>+IF($AB$5=0,"",'4. '!AA237)</f>
        <v/>
      </c>
      <c r="AC11" s="42" t="str">
        <f>+IF($AC$5=0,"",'4. '!AB237)</f>
        <v/>
      </c>
      <c r="AD11" s="42" t="str">
        <f>+IF($AD$5=0,"",'4. '!AC237)</f>
        <v/>
      </c>
      <c r="AE11" s="42" t="str">
        <f>+IF($AE$5=0,"",'4. '!AD237)</f>
        <v/>
      </c>
      <c r="AF11" s="42" t="str">
        <f>+IF($AF$5=0,"",'4. '!AE237)</f>
        <v/>
      </c>
      <c r="AG11" s="49" t="e">
        <f t="shared" si="0"/>
        <v>#DIV/0!</v>
      </c>
      <c r="AH11" s="6">
        <v>6</v>
      </c>
    </row>
    <row r="12" spans="1:36" x14ac:dyDescent="0.25">
      <c r="A12" s="27">
        <f t="shared" si="1"/>
        <v>7</v>
      </c>
      <c r="B12" s="10" t="s">
        <v>292</v>
      </c>
      <c r="C12" s="42" t="str">
        <f>+IF($C$5=0,"",'4. '!B234)</f>
        <v/>
      </c>
      <c r="D12" s="42" t="str">
        <f>+IF($D$5=0,"",'4. '!C234)</f>
        <v/>
      </c>
      <c r="E12" s="42" t="str">
        <f>+IF($E$5=0,"",'4. '!D234)</f>
        <v/>
      </c>
      <c r="F12" s="42" t="str">
        <f>+IF($F$5=0,"",'4. '!E234)</f>
        <v/>
      </c>
      <c r="G12" s="42" t="str">
        <f>+IF($G$5=0,"",'4. '!F234)</f>
        <v/>
      </c>
      <c r="H12" s="42" t="str">
        <f>+IF($H$5=0,"",'4. '!G234)</f>
        <v/>
      </c>
      <c r="I12" s="42" t="str">
        <f>+IF($I$5=0,"",'4. '!H234)</f>
        <v/>
      </c>
      <c r="J12" s="42" t="str">
        <f>+IF($J$5=0,"",'4. '!I234)</f>
        <v/>
      </c>
      <c r="K12" s="42" t="str">
        <f>+IF($K$5=0,"",'4. '!J234)</f>
        <v/>
      </c>
      <c r="L12" s="42" t="str">
        <f>+IF($L$5=0,"",'4. '!K234)</f>
        <v/>
      </c>
      <c r="M12" s="42" t="str">
        <f>+IF($M$5=0,"",'4. '!L234)</f>
        <v/>
      </c>
      <c r="N12" s="42" t="str">
        <f>+IF($N$5=0,"",'4. '!M234)</f>
        <v/>
      </c>
      <c r="O12" s="42" t="str">
        <f>+IF($O$5=0,"",'4. '!N234)</f>
        <v/>
      </c>
      <c r="P12" s="42" t="str">
        <f>+IF($P$5=0,"",'4. '!O234)</f>
        <v/>
      </c>
      <c r="Q12" s="42" t="str">
        <f>+IF($Q$5=0,"",'4. '!P234)</f>
        <v/>
      </c>
      <c r="R12" s="42" t="str">
        <f>+IF($R$5=0,"",'4. '!Q234)</f>
        <v/>
      </c>
      <c r="S12" s="42" t="str">
        <f>+IF($S$5=0,"",'4. '!R234)</f>
        <v/>
      </c>
      <c r="T12" s="42" t="str">
        <f>+IF($T$5=0,"",'4. '!S234)</f>
        <v/>
      </c>
      <c r="U12" s="42" t="str">
        <f>+IF($U$5=0,"",'4. '!T234)</f>
        <v/>
      </c>
      <c r="V12" s="42" t="str">
        <f>+IF($V$5=0,"",'4. '!U234)</f>
        <v/>
      </c>
      <c r="W12" s="42" t="str">
        <f>+IF($W$5=0,"",'4. '!V234)</f>
        <v/>
      </c>
      <c r="X12" s="42" t="str">
        <f>+IF($X$5=0,"",'4. '!W234)</f>
        <v/>
      </c>
      <c r="Y12" s="42" t="str">
        <f>+IF($Y$5=0,"",'4. '!X234)</f>
        <v/>
      </c>
      <c r="Z12" s="42" t="str">
        <f>+IF($Z$5=0,"",'4. '!Y234)</f>
        <v/>
      </c>
      <c r="AA12" s="42" t="str">
        <f>+IF($AA$5=0,"",'4. '!Z234)</f>
        <v/>
      </c>
      <c r="AB12" s="42" t="str">
        <f>+IF($AB$5=0,"",'4. '!AA234)</f>
        <v/>
      </c>
      <c r="AC12" s="42" t="str">
        <f>+IF($AC$5=0,"",'4. '!AB234)</f>
        <v/>
      </c>
      <c r="AD12" s="42" t="str">
        <f>+IF($AD$5=0,"",'4. '!AC234)</f>
        <v/>
      </c>
      <c r="AE12" s="42" t="str">
        <f>+IF($AE$5=0,"",'4. '!AD234)</f>
        <v/>
      </c>
      <c r="AF12" s="42" t="str">
        <f>+IF($AF$5=0,"",'4. '!AE234)</f>
        <v/>
      </c>
      <c r="AG12" s="49" t="e">
        <f t="shared" si="0"/>
        <v>#DIV/0!</v>
      </c>
      <c r="AH12" s="6">
        <v>7</v>
      </c>
    </row>
    <row r="13" spans="1:36" x14ac:dyDescent="0.25">
      <c r="A13" s="27">
        <f t="shared" si="1"/>
        <v>8</v>
      </c>
      <c r="B13" s="10" t="s">
        <v>279</v>
      </c>
      <c r="C13" s="42" t="str">
        <f>+IF($C$5=0,"",'4. '!B221)</f>
        <v/>
      </c>
      <c r="D13" s="42" t="str">
        <f>+IF($D$5=0,"",'4. '!C221)</f>
        <v/>
      </c>
      <c r="E13" s="42" t="str">
        <f>+IF($E$5=0,"",'4. '!D221)</f>
        <v/>
      </c>
      <c r="F13" s="42" t="str">
        <f>+IF($F$5=0,"",'4. '!E221)</f>
        <v/>
      </c>
      <c r="G13" s="42" t="str">
        <f>+IF($G$5=0,"",'4. '!F221)</f>
        <v/>
      </c>
      <c r="H13" s="42" t="str">
        <f>+IF($H$5=0,"",'4. '!G221)</f>
        <v/>
      </c>
      <c r="I13" s="42" t="str">
        <f>+IF($I$5=0,"",'4. '!H221)</f>
        <v/>
      </c>
      <c r="J13" s="42" t="str">
        <f>+IF($J$5=0,"",'4. '!I221)</f>
        <v/>
      </c>
      <c r="K13" s="42" t="str">
        <f>+IF($K$5=0,"",'4. '!J221)</f>
        <v/>
      </c>
      <c r="L13" s="42" t="str">
        <f>+IF($L$5=0,"",'4. '!K221)</f>
        <v/>
      </c>
      <c r="M13" s="42" t="str">
        <f>+IF($M$5=0,"",'4. '!L221)</f>
        <v/>
      </c>
      <c r="N13" s="42" t="str">
        <f>+IF($N$5=0,"",'4. '!M221)</f>
        <v/>
      </c>
      <c r="O13" s="42" t="str">
        <f>+IF($O$5=0,"",'4. '!N221)</f>
        <v/>
      </c>
      <c r="P13" s="42" t="str">
        <f>+IF($P$5=0,"",'4. '!O221)</f>
        <v/>
      </c>
      <c r="Q13" s="42" t="str">
        <f>+IF($Q$5=0,"",'4. '!P221)</f>
        <v/>
      </c>
      <c r="R13" s="42" t="str">
        <f>+IF($R$5=0,"",'4. '!Q221)</f>
        <v/>
      </c>
      <c r="S13" s="42" t="str">
        <f>+IF($S$5=0,"",'4. '!R221)</f>
        <v/>
      </c>
      <c r="T13" s="42" t="str">
        <f>+IF($T$5=0,"",'4. '!S221)</f>
        <v/>
      </c>
      <c r="U13" s="42" t="str">
        <f>+IF($U$5=0,"",'4. '!T221)</f>
        <v/>
      </c>
      <c r="V13" s="42" t="str">
        <f>+IF($V$5=0,"",'4. '!U221)</f>
        <v/>
      </c>
      <c r="W13" s="42" t="str">
        <f>+IF($W$5=0,"",'4. '!V221)</f>
        <v/>
      </c>
      <c r="X13" s="42" t="str">
        <f>+IF($X$5=0,"",'4. '!W221)</f>
        <v/>
      </c>
      <c r="Y13" s="42" t="str">
        <f>+IF($Y$5=0,"",'4. '!X221)</f>
        <v/>
      </c>
      <c r="Z13" s="42" t="str">
        <f>+IF($Z$5=0,"",'4. '!Y221)</f>
        <v/>
      </c>
      <c r="AA13" s="42" t="str">
        <f>+IF($AA$5=0,"",'4. '!Z221)</f>
        <v/>
      </c>
      <c r="AB13" s="42" t="str">
        <f>+IF($AB$5=0,"",'4. '!AA221)</f>
        <v/>
      </c>
      <c r="AC13" s="42" t="str">
        <f>+IF($AC$5=0,"",'4. '!AB221)</f>
        <v/>
      </c>
      <c r="AD13" s="42" t="str">
        <f>+IF($AD$5=0,"",'4. '!AC221)</f>
        <v/>
      </c>
      <c r="AE13" s="42" t="str">
        <f>+IF($AE$5=0,"",'4. '!AD221)</f>
        <v/>
      </c>
      <c r="AF13" s="42" t="str">
        <f>+IF($AF$5=0,"",'4. '!AE221)</f>
        <v/>
      </c>
      <c r="AG13" s="49" t="e">
        <f t="shared" si="0"/>
        <v>#DIV/0!</v>
      </c>
      <c r="AH13" s="6">
        <v>8</v>
      </c>
    </row>
    <row r="14" spans="1:36" x14ac:dyDescent="0.25">
      <c r="A14" s="27">
        <f t="shared" si="1"/>
        <v>9</v>
      </c>
      <c r="B14" s="10" t="s">
        <v>281</v>
      </c>
      <c r="C14" s="42" t="str">
        <f>+IF($C$5=0,"",'4. '!B223)</f>
        <v/>
      </c>
      <c r="D14" s="42" t="str">
        <f>+IF($D$5=0,"",'4. '!C223)</f>
        <v/>
      </c>
      <c r="E14" s="42" t="str">
        <f>+IF($E$5=0,"",'4. '!D223)</f>
        <v/>
      </c>
      <c r="F14" s="42" t="str">
        <f>+IF($F$5=0,"",'4. '!E223)</f>
        <v/>
      </c>
      <c r="G14" s="42" t="str">
        <f>+IF($G$5=0,"",'4. '!F223)</f>
        <v/>
      </c>
      <c r="H14" s="42" t="str">
        <f>+IF($H$5=0,"",'4. '!G223)</f>
        <v/>
      </c>
      <c r="I14" s="42" t="str">
        <f>+IF($I$5=0,"",'4. '!H223)</f>
        <v/>
      </c>
      <c r="J14" s="42" t="str">
        <f>+IF($J$5=0,"",'4. '!I223)</f>
        <v/>
      </c>
      <c r="K14" s="42" t="str">
        <f>+IF($K$5=0,"",'4. '!J223)</f>
        <v/>
      </c>
      <c r="L14" s="42" t="str">
        <f>+IF($L$5=0,"",'4. '!K223)</f>
        <v/>
      </c>
      <c r="M14" s="42" t="str">
        <f>+IF($M$5=0,"",'4. '!L223)</f>
        <v/>
      </c>
      <c r="N14" s="42" t="str">
        <f>+IF($N$5=0,"",'4. '!M223)</f>
        <v/>
      </c>
      <c r="O14" s="42" t="str">
        <f>+IF($O$5=0,"",'4. '!N223)</f>
        <v/>
      </c>
      <c r="P14" s="42" t="str">
        <f>+IF($P$5=0,"",'4. '!O223)</f>
        <v/>
      </c>
      <c r="Q14" s="42" t="str">
        <f>+IF($Q$5=0,"",'4. '!P223)</f>
        <v/>
      </c>
      <c r="R14" s="42" t="str">
        <f>+IF($R$5=0,"",'4. '!Q223)</f>
        <v/>
      </c>
      <c r="S14" s="42" t="str">
        <f>+IF($S$5=0,"",'4. '!R223)</f>
        <v/>
      </c>
      <c r="T14" s="42" t="str">
        <f>+IF($T$5=0,"",'4. '!S223)</f>
        <v/>
      </c>
      <c r="U14" s="42" t="str">
        <f>+IF($U$5=0,"",'4. '!T223)</f>
        <v/>
      </c>
      <c r="V14" s="42" t="str">
        <f>+IF($V$5=0,"",'4. '!U223)</f>
        <v/>
      </c>
      <c r="W14" s="42" t="str">
        <f>+IF($W$5=0,"",'4. '!V223)</f>
        <v/>
      </c>
      <c r="X14" s="42" t="str">
        <f>+IF($X$5=0,"",'4. '!W223)</f>
        <v/>
      </c>
      <c r="Y14" s="42" t="str">
        <f>+IF($Y$5=0,"",'4. '!X223)</f>
        <v/>
      </c>
      <c r="Z14" s="42" t="str">
        <f>+IF($Z$5=0,"",'4. '!Y223)</f>
        <v/>
      </c>
      <c r="AA14" s="42" t="str">
        <f>+IF($AA$5=0,"",'4. '!Z223)</f>
        <v/>
      </c>
      <c r="AB14" s="42" t="str">
        <f>+IF($AB$5=0,"",'4. '!AA223)</f>
        <v/>
      </c>
      <c r="AC14" s="42" t="str">
        <f>+IF($AC$5=0,"",'4. '!AB223)</f>
        <v/>
      </c>
      <c r="AD14" s="42" t="str">
        <f>+IF($AD$5=0,"",'4. '!AC223)</f>
        <v/>
      </c>
      <c r="AE14" s="42" t="str">
        <f>+IF($AE$5=0,"",'4. '!AD223)</f>
        <v/>
      </c>
      <c r="AF14" s="42" t="str">
        <f>+IF($AF$5=0,"",'4. '!AE223)</f>
        <v/>
      </c>
      <c r="AG14" s="49" t="e">
        <f t="shared" si="0"/>
        <v>#DIV/0!</v>
      </c>
      <c r="AH14" s="6">
        <v>9</v>
      </c>
    </row>
    <row r="15" spans="1:36" x14ac:dyDescent="0.25">
      <c r="A15" s="27">
        <f t="shared" si="1"/>
        <v>10</v>
      </c>
      <c r="B15" s="10" t="s">
        <v>286</v>
      </c>
      <c r="C15" s="42" t="str">
        <f>+IF($C$5=0,"",'4. '!B228)</f>
        <v/>
      </c>
      <c r="D15" s="42" t="str">
        <f>+IF($D$5=0,"",'4. '!C228)</f>
        <v/>
      </c>
      <c r="E15" s="42" t="str">
        <f>+IF($E$5=0,"",'4. '!D228)</f>
        <v/>
      </c>
      <c r="F15" s="42" t="str">
        <f>+IF($F$5=0,"",'4. '!E228)</f>
        <v/>
      </c>
      <c r="G15" s="42" t="str">
        <f>+IF($G$5=0,"",'4. '!F228)</f>
        <v/>
      </c>
      <c r="H15" s="42" t="str">
        <f>+IF($H$5=0,"",'4. '!G228)</f>
        <v/>
      </c>
      <c r="I15" s="42" t="str">
        <f>+IF($I$5=0,"",'4. '!H228)</f>
        <v/>
      </c>
      <c r="J15" s="42" t="str">
        <f>+IF($J$5=0,"",'4. '!I228)</f>
        <v/>
      </c>
      <c r="K15" s="42" t="str">
        <f>+IF($K$5=0,"",'4. '!J228)</f>
        <v/>
      </c>
      <c r="L15" s="42" t="str">
        <f>+IF($L$5=0,"",'4. '!K228)</f>
        <v/>
      </c>
      <c r="M15" s="42" t="str">
        <f>+IF($M$5=0,"",'4. '!L228)</f>
        <v/>
      </c>
      <c r="N15" s="42" t="str">
        <f>+IF($N$5=0,"",'4. '!M228)</f>
        <v/>
      </c>
      <c r="O15" s="42" t="str">
        <f>+IF($O$5=0,"",'4. '!N228)</f>
        <v/>
      </c>
      <c r="P15" s="42" t="str">
        <f>+IF($P$5=0,"",'4. '!O228)</f>
        <v/>
      </c>
      <c r="Q15" s="42" t="str">
        <f>+IF($Q$5=0,"",'4. '!P228)</f>
        <v/>
      </c>
      <c r="R15" s="42" t="str">
        <f>+IF($R$5=0,"",'4. '!Q228)</f>
        <v/>
      </c>
      <c r="S15" s="42" t="str">
        <f>+IF($S$5=0,"",'4. '!R228)</f>
        <v/>
      </c>
      <c r="T15" s="42" t="str">
        <f>+IF($T$5=0,"",'4. '!S228)</f>
        <v/>
      </c>
      <c r="U15" s="42" t="str">
        <f>+IF($U$5=0,"",'4. '!T228)</f>
        <v/>
      </c>
      <c r="V15" s="42" t="str">
        <f>+IF($V$5=0,"",'4. '!U228)</f>
        <v/>
      </c>
      <c r="W15" s="42" t="str">
        <f>+IF($W$5=0,"",'4. '!V228)</f>
        <v/>
      </c>
      <c r="X15" s="42" t="str">
        <f>+IF($X$5=0,"",'4. '!W228)</f>
        <v/>
      </c>
      <c r="Y15" s="42" t="str">
        <f>+IF($Y$5=0,"",'4. '!X228)</f>
        <v/>
      </c>
      <c r="Z15" s="42" t="str">
        <f>+IF($Z$5=0,"",'4. '!Y228)</f>
        <v/>
      </c>
      <c r="AA15" s="42" t="str">
        <f>+IF($AA$5=0,"",'4. '!Z228)</f>
        <v/>
      </c>
      <c r="AB15" s="42" t="str">
        <f>+IF($AB$5=0,"",'4. '!AA228)</f>
        <v/>
      </c>
      <c r="AC15" s="42" t="str">
        <f>+IF($AC$5=0,"",'4. '!AB228)</f>
        <v/>
      </c>
      <c r="AD15" s="42" t="str">
        <f>+IF($AD$5=0,"",'4. '!AC228)</f>
        <v/>
      </c>
      <c r="AE15" s="42" t="str">
        <f>+IF($AE$5=0,"",'4. '!AD228)</f>
        <v/>
      </c>
      <c r="AF15" s="42" t="str">
        <f>+IF($AF$5=0,"",'4. '!AE228)</f>
        <v/>
      </c>
      <c r="AG15" s="49" t="e">
        <f t="shared" si="0"/>
        <v>#DIV/0!</v>
      </c>
      <c r="AH15" s="6">
        <v>10</v>
      </c>
    </row>
    <row r="16" spans="1:36" x14ac:dyDescent="0.25">
      <c r="A16" s="27">
        <f t="shared" si="1"/>
        <v>11</v>
      </c>
      <c r="B16" s="10" t="s">
        <v>283</v>
      </c>
      <c r="C16" s="42" t="str">
        <f>+IF($C$5=0,"",'4. '!B225)</f>
        <v/>
      </c>
      <c r="D16" s="42" t="str">
        <f>+IF($D$5=0,"",'4. '!C225)</f>
        <v/>
      </c>
      <c r="E16" s="42" t="str">
        <f>+IF($E$5=0,"",'4. '!D225)</f>
        <v/>
      </c>
      <c r="F16" s="42" t="str">
        <f>+IF($F$5=0,"",'4. '!E225)</f>
        <v/>
      </c>
      <c r="G16" s="42" t="str">
        <f>+IF($G$5=0,"",'4. '!F225)</f>
        <v/>
      </c>
      <c r="H16" s="42" t="str">
        <f>+IF($H$5=0,"",'4. '!G225)</f>
        <v/>
      </c>
      <c r="I16" s="42" t="str">
        <f>+IF($I$5=0,"",'4. '!H225)</f>
        <v/>
      </c>
      <c r="J16" s="42" t="str">
        <f>+IF($J$5=0,"",'4. '!I225)</f>
        <v/>
      </c>
      <c r="K16" s="42" t="str">
        <f>+IF($K$5=0,"",'4. '!J225)</f>
        <v/>
      </c>
      <c r="L16" s="42" t="str">
        <f>+IF($L$5=0,"",'4. '!K225)</f>
        <v/>
      </c>
      <c r="M16" s="42" t="str">
        <f>+IF($M$5=0,"",'4. '!L225)</f>
        <v/>
      </c>
      <c r="N16" s="42" t="str">
        <f>+IF($N$5=0,"",'4. '!M225)</f>
        <v/>
      </c>
      <c r="O16" s="42" t="str">
        <f>+IF($O$5=0,"",'4. '!N225)</f>
        <v/>
      </c>
      <c r="P16" s="42" t="str">
        <f>+IF($P$5=0,"",'4. '!O225)</f>
        <v/>
      </c>
      <c r="Q16" s="42" t="str">
        <f>+IF($Q$5=0,"",'4. '!P225)</f>
        <v/>
      </c>
      <c r="R16" s="42" t="str">
        <f>+IF($R$5=0,"",'4. '!Q225)</f>
        <v/>
      </c>
      <c r="S16" s="42" t="str">
        <f>+IF($S$5=0,"",'4. '!R225)</f>
        <v/>
      </c>
      <c r="T16" s="42" t="str">
        <f>+IF($T$5=0,"",'4. '!S225)</f>
        <v/>
      </c>
      <c r="U16" s="42" t="str">
        <f>+IF($U$5=0,"",'4. '!T225)</f>
        <v/>
      </c>
      <c r="V16" s="42" t="str">
        <f>+IF($V$5=0,"",'4. '!U225)</f>
        <v/>
      </c>
      <c r="W16" s="42" t="str">
        <f>+IF($W$5=0,"",'4. '!V225)</f>
        <v/>
      </c>
      <c r="X16" s="42" t="str">
        <f>+IF($X$5=0,"",'4. '!W225)</f>
        <v/>
      </c>
      <c r="Y16" s="42" t="str">
        <f>+IF($Y$5=0,"",'4. '!X225)</f>
        <v/>
      </c>
      <c r="Z16" s="42" t="str">
        <f>+IF($Z$5=0,"",'4. '!Y225)</f>
        <v/>
      </c>
      <c r="AA16" s="42" t="str">
        <f>+IF($AA$5=0,"",'4. '!Z225)</f>
        <v/>
      </c>
      <c r="AB16" s="42" t="str">
        <f>+IF($AB$5=0,"",'4. '!AA225)</f>
        <v/>
      </c>
      <c r="AC16" s="42" t="str">
        <f>+IF($AC$5=0,"",'4. '!AB225)</f>
        <v/>
      </c>
      <c r="AD16" s="42" t="str">
        <f>+IF($AD$5=0,"",'4. '!AC225)</f>
        <v/>
      </c>
      <c r="AE16" s="42" t="str">
        <f>+IF($AE$5=0,"",'4. '!AD225)</f>
        <v/>
      </c>
      <c r="AF16" s="42" t="str">
        <f>+IF($AF$5=0,"",'4. '!AE225)</f>
        <v/>
      </c>
      <c r="AG16" s="49" t="e">
        <f t="shared" si="0"/>
        <v>#DIV/0!</v>
      </c>
      <c r="AH16" s="6">
        <v>11</v>
      </c>
    </row>
    <row r="17" spans="1:34" x14ac:dyDescent="0.25">
      <c r="A17" s="27">
        <f t="shared" si="1"/>
        <v>12</v>
      </c>
      <c r="B17" s="10" t="s">
        <v>297</v>
      </c>
      <c r="C17" s="42" t="str">
        <f>+IF($C$5=0,"",'4. '!B239)</f>
        <v/>
      </c>
      <c r="D17" s="42" t="str">
        <f>+IF($D$5=0,"",'4. '!C239)</f>
        <v/>
      </c>
      <c r="E17" s="42" t="str">
        <f>+IF($E$5=0,"",'4. '!D239)</f>
        <v/>
      </c>
      <c r="F17" s="42" t="str">
        <f>+IF($F$5=0,"",'4. '!E239)</f>
        <v/>
      </c>
      <c r="G17" s="42" t="str">
        <f>+IF($G$5=0,"",'4. '!F239)</f>
        <v/>
      </c>
      <c r="H17" s="42" t="str">
        <f>+IF($H$5=0,"",'4. '!G239)</f>
        <v/>
      </c>
      <c r="I17" s="42" t="str">
        <f>+IF($I$5=0,"",'4. '!H239)</f>
        <v/>
      </c>
      <c r="J17" s="42" t="str">
        <f>+IF($J$5=0,"",'4. '!I239)</f>
        <v/>
      </c>
      <c r="K17" s="42" t="str">
        <f>+IF($K$5=0,"",'4. '!J239)</f>
        <v/>
      </c>
      <c r="L17" s="42" t="str">
        <f>+IF($L$5=0,"",'4. '!K239)</f>
        <v/>
      </c>
      <c r="M17" s="42" t="str">
        <f>+IF($M$5=0,"",'4. '!L239)</f>
        <v/>
      </c>
      <c r="N17" s="42" t="str">
        <f>+IF($N$5=0,"",'4. '!M239)</f>
        <v/>
      </c>
      <c r="O17" s="42" t="str">
        <f>+IF($O$5=0,"",'4. '!N239)</f>
        <v/>
      </c>
      <c r="P17" s="42" t="str">
        <f>+IF($P$5=0,"",'4. '!O239)</f>
        <v/>
      </c>
      <c r="Q17" s="42" t="str">
        <f>+IF($Q$5=0,"",'4. '!P239)</f>
        <v/>
      </c>
      <c r="R17" s="42" t="str">
        <f>+IF($R$5=0,"",'4. '!Q239)</f>
        <v/>
      </c>
      <c r="S17" s="42" t="str">
        <f>+IF($S$5=0,"",'4. '!R239)</f>
        <v/>
      </c>
      <c r="T17" s="42" t="str">
        <f>+IF($T$5=0,"",'4. '!S239)</f>
        <v/>
      </c>
      <c r="U17" s="42" t="str">
        <f>+IF($U$5=0,"",'4. '!T239)</f>
        <v/>
      </c>
      <c r="V17" s="42" t="str">
        <f>+IF($V$5=0,"",'4. '!U239)</f>
        <v/>
      </c>
      <c r="W17" s="42" t="str">
        <f>+IF($W$5=0,"",'4. '!V239)</f>
        <v/>
      </c>
      <c r="X17" s="42" t="str">
        <f>+IF($X$5=0,"",'4. '!W239)</f>
        <v/>
      </c>
      <c r="Y17" s="42" t="str">
        <f>+IF($Y$5=0,"",'4. '!X239)</f>
        <v/>
      </c>
      <c r="Z17" s="42" t="str">
        <f>+IF($Z$5=0,"",'4. '!Y239)</f>
        <v/>
      </c>
      <c r="AA17" s="42" t="str">
        <f>+IF($AA$5=0,"",'4. '!Z239)</f>
        <v/>
      </c>
      <c r="AB17" s="42" t="str">
        <f>+IF($AB$5=0,"",'4. '!AA239)</f>
        <v/>
      </c>
      <c r="AC17" s="42" t="str">
        <f>+IF($AC$5=0,"",'4. '!AB239)</f>
        <v/>
      </c>
      <c r="AD17" s="42" t="str">
        <f>+IF($AD$5=0,"",'4. '!AC239)</f>
        <v/>
      </c>
      <c r="AE17" s="42" t="str">
        <f>+IF($AE$5=0,"",'4. '!AD239)</f>
        <v/>
      </c>
      <c r="AF17" s="42" t="str">
        <f>+IF($AF$5=0,"",'4. '!AE239)</f>
        <v/>
      </c>
      <c r="AG17" s="49" t="e">
        <f t="shared" si="0"/>
        <v>#DIV/0!</v>
      </c>
      <c r="AH17" s="6">
        <v>12</v>
      </c>
    </row>
    <row r="18" spans="1:34" x14ac:dyDescent="0.25">
      <c r="A18" s="27">
        <f t="shared" si="1"/>
        <v>13</v>
      </c>
      <c r="B18" s="10" t="s">
        <v>299</v>
      </c>
      <c r="C18" s="42" t="str">
        <f>+IF($C$5=0,"",'4. '!B241)</f>
        <v/>
      </c>
      <c r="D18" s="42" t="str">
        <f>+IF($D$5=0,"",'4. '!C241)</f>
        <v/>
      </c>
      <c r="E18" s="42" t="str">
        <f>+IF($E$5=0,"",'4. '!D241)</f>
        <v/>
      </c>
      <c r="F18" s="42" t="str">
        <f>+IF($F$5=0,"",'4. '!E241)</f>
        <v/>
      </c>
      <c r="G18" s="42" t="str">
        <f>+IF($G$5=0,"",'4. '!F241)</f>
        <v/>
      </c>
      <c r="H18" s="42" t="str">
        <f>+IF($H$5=0,"",'4. '!G241)</f>
        <v/>
      </c>
      <c r="I18" s="42" t="str">
        <f>+IF($I$5=0,"",'4. '!H241)</f>
        <v/>
      </c>
      <c r="J18" s="42" t="str">
        <f>+IF($J$5=0,"",'4. '!I241)</f>
        <v/>
      </c>
      <c r="K18" s="42" t="str">
        <f>+IF($K$5=0,"",'4. '!J241)</f>
        <v/>
      </c>
      <c r="L18" s="42" t="str">
        <f>+IF($L$5=0,"",'4. '!K241)</f>
        <v/>
      </c>
      <c r="M18" s="42" t="str">
        <f>+IF($M$5=0,"",'4. '!L241)</f>
        <v/>
      </c>
      <c r="N18" s="42" t="str">
        <f>+IF($N$5=0,"",'4. '!M241)</f>
        <v/>
      </c>
      <c r="O18" s="42" t="str">
        <f>+IF($O$5=0,"",'4. '!N241)</f>
        <v/>
      </c>
      <c r="P18" s="42" t="str">
        <f>+IF($P$5=0,"",'4. '!O241)</f>
        <v/>
      </c>
      <c r="Q18" s="42" t="str">
        <f>+IF($Q$5=0,"",'4. '!P241)</f>
        <v/>
      </c>
      <c r="R18" s="42" t="str">
        <f>+IF($R$5=0,"",'4. '!Q241)</f>
        <v/>
      </c>
      <c r="S18" s="42" t="str">
        <f>+IF($S$5=0,"",'4. '!R241)</f>
        <v/>
      </c>
      <c r="T18" s="42" t="str">
        <f>+IF($T$5=0,"",'4. '!S241)</f>
        <v/>
      </c>
      <c r="U18" s="42" t="str">
        <f>+IF($U$5=0,"",'4. '!T241)</f>
        <v/>
      </c>
      <c r="V18" s="42" t="str">
        <f>+IF($V$5=0,"",'4. '!U241)</f>
        <v/>
      </c>
      <c r="W18" s="42" t="str">
        <f>+IF($W$5=0,"",'4. '!V241)</f>
        <v/>
      </c>
      <c r="X18" s="42" t="str">
        <f>+IF($X$5=0,"",'4. '!W241)</f>
        <v/>
      </c>
      <c r="Y18" s="42" t="str">
        <f>+IF($Y$5=0,"",'4. '!X241)</f>
        <v/>
      </c>
      <c r="Z18" s="42" t="str">
        <f>+IF($Z$5=0,"",'4. '!Y241)</f>
        <v/>
      </c>
      <c r="AA18" s="42" t="str">
        <f>+IF($AA$5=0,"",'4. '!Z241)</f>
        <v/>
      </c>
      <c r="AB18" s="42" t="str">
        <f>+IF($AB$5=0,"",'4. '!AA241)</f>
        <v/>
      </c>
      <c r="AC18" s="42" t="str">
        <f>+IF($AC$5=0,"",'4. '!AB241)</f>
        <v/>
      </c>
      <c r="AD18" s="42" t="str">
        <f>+IF($AD$5=0,"",'4. '!AC241)</f>
        <v/>
      </c>
      <c r="AE18" s="42" t="str">
        <f>+IF($AE$5=0,"",'4. '!AD241)</f>
        <v/>
      </c>
      <c r="AF18" s="42" t="str">
        <f>+IF($AF$5=0,"",'4. '!AE241)</f>
        <v/>
      </c>
      <c r="AG18" s="49" t="e">
        <f t="shared" si="0"/>
        <v>#DIV/0!</v>
      </c>
      <c r="AH18" s="6">
        <v>13</v>
      </c>
    </row>
    <row r="19" spans="1:34" x14ac:dyDescent="0.25">
      <c r="A19" s="27">
        <f t="shared" si="1"/>
        <v>14</v>
      </c>
      <c r="B19" s="10" t="s">
        <v>304</v>
      </c>
      <c r="C19" s="42" t="str">
        <f>+IF($C$5=0,"",'4. '!B246)</f>
        <v/>
      </c>
      <c r="D19" s="42" t="str">
        <f>+IF($D$5=0,"",'4. '!C246)</f>
        <v/>
      </c>
      <c r="E19" s="42" t="str">
        <f>+IF($E$5=0,"",'4. '!D246)</f>
        <v/>
      </c>
      <c r="F19" s="42" t="str">
        <f>+IF($F$5=0,"",'4. '!E246)</f>
        <v/>
      </c>
      <c r="G19" s="42" t="str">
        <f>+IF($G$5=0,"",'4. '!F246)</f>
        <v/>
      </c>
      <c r="H19" s="42" t="str">
        <f>+IF($H$5=0,"",'4. '!G246)</f>
        <v/>
      </c>
      <c r="I19" s="42" t="str">
        <f>+IF($I$5=0,"",'4. '!H246)</f>
        <v/>
      </c>
      <c r="J19" s="42" t="str">
        <f>+IF($J$5=0,"",'4. '!I246)</f>
        <v/>
      </c>
      <c r="K19" s="42" t="str">
        <f>+IF($K$5=0,"",'4. '!J246)</f>
        <v/>
      </c>
      <c r="L19" s="42" t="str">
        <f>+IF($L$5=0,"",'4. '!K246)</f>
        <v/>
      </c>
      <c r="M19" s="42" t="str">
        <f>+IF($M$5=0,"",'4. '!L246)</f>
        <v/>
      </c>
      <c r="N19" s="42" t="str">
        <f>+IF($N$5=0,"",'4. '!M246)</f>
        <v/>
      </c>
      <c r="O19" s="42" t="str">
        <f>+IF($O$5=0,"",'4. '!N246)</f>
        <v/>
      </c>
      <c r="P19" s="42" t="str">
        <f>+IF($P$5=0,"",'4. '!O246)</f>
        <v/>
      </c>
      <c r="Q19" s="42" t="str">
        <f>+IF($Q$5=0,"",'4. '!P246)</f>
        <v/>
      </c>
      <c r="R19" s="42" t="str">
        <f>+IF($R$5=0,"",'4. '!Q246)</f>
        <v/>
      </c>
      <c r="S19" s="42" t="str">
        <f>+IF($S$5=0,"",'4. '!R246)</f>
        <v/>
      </c>
      <c r="T19" s="42" t="str">
        <f>+IF($T$5=0,"",'4. '!S246)</f>
        <v/>
      </c>
      <c r="U19" s="42" t="str">
        <f>+IF($U$5=0,"",'4. '!T246)</f>
        <v/>
      </c>
      <c r="V19" s="42" t="str">
        <f>+IF($V$5=0,"",'4. '!U246)</f>
        <v/>
      </c>
      <c r="W19" s="42" t="str">
        <f>+IF($W$5=0,"",'4. '!V246)</f>
        <v/>
      </c>
      <c r="X19" s="42" t="str">
        <f>+IF($X$5=0,"",'4. '!W246)</f>
        <v/>
      </c>
      <c r="Y19" s="42" t="str">
        <f>+IF($Y$5=0,"",'4. '!X246)</f>
        <v/>
      </c>
      <c r="Z19" s="42" t="str">
        <f>+IF($Z$5=0,"",'4. '!Y246)</f>
        <v/>
      </c>
      <c r="AA19" s="42" t="str">
        <f>+IF($AA$5=0,"",'4. '!Z246)</f>
        <v/>
      </c>
      <c r="AB19" s="42" t="str">
        <f>+IF($AB$5=0,"",'4. '!AA246)</f>
        <v/>
      </c>
      <c r="AC19" s="42" t="str">
        <f>+IF($AC$5=0,"",'4. '!AB246)</f>
        <v/>
      </c>
      <c r="AD19" s="42" t="str">
        <f>+IF($AD$5=0,"",'4. '!AC246)</f>
        <v/>
      </c>
      <c r="AE19" s="42" t="str">
        <f>+IF($AE$5=0,"",'4. '!AD246)</f>
        <v/>
      </c>
      <c r="AF19" s="42" t="str">
        <f>+IF($AF$5=0,"",'4. '!AE246)</f>
        <v/>
      </c>
      <c r="AG19" s="49" t="e">
        <f t="shared" si="0"/>
        <v>#DIV/0!</v>
      </c>
      <c r="AH19" s="6">
        <v>14</v>
      </c>
    </row>
    <row r="20" spans="1:34" x14ac:dyDescent="0.25">
      <c r="A20" s="27">
        <f t="shared" si="1"/>
        <v>15</v>
      </c>
      <c r="B20" s="10" t="s">
        <v>301</v>
      </c>
      <c r="C20" s="42" t="str">
        <f>+IF($C$5=0,"",'4. '!B243)</f>
        <v/>
      </c>
      <c r="D20" s="42" t="str">
        <f>+IF($D$5=0,"",'4. '!C243)</f>
        <v/>
      </c>
      <c r="E20" s="42" t="str">
        <f>+IF($E$5=0,"",'4. '!D243)</f>
        <v/>
      </c>
      <c r="F20" s="42" t="str">
        <f>+IF($F$5=0,"",'4. '!E243)</f>
        <v/>
      </c>
      <c r="G20" s="42" t="str">
        <f>+IF($G$5=0,"",'4. '!F243)</f>
        <v/>
      </c>
      <c r="H20" s="42" t="str">
        <f>+IF($H$5=0,"",'4. '!G243)</f>
        <v/>
      </c>
      <c r="I20" s="42" t="str">
        <f>+IF($I$5=0,"",'4. '!H243)</f>
        <v/>
      </c>
      <c r="J20" s="42" t="str">
        <f>+IF($J$5=0,"",'4. '!I243)</f>
        <v/>
      </c>
      <c r="K20" s="42" t="str">
        <f>+IF($K$5=0,"",'4. '!J243)</f>
        <v/>
      </c>
      <c r="L20" s="42" t="str">
        <f>+IF($L$5=0,"",'4. '!K243)</f>
        <v/>
      </c>
      <c r="M20" s="42" t="str">
        <f>+IF($M$5=0,"",'4. '!L243)</f>
        <v/>
      </c>
      <c r="N20" s="42" t="str">
        <f>+IF($N$5=0,"",'4. '!M243)</f>
        <v/>
      </c>
      <c r="O20" s="42" t="str">
        <f>+IF($O$5=0,"",'4. '!N243)</f>
        <v/>
      </c>
      <c r="P20" s="42" t="str">
        <f>+IF($P$5=0,"",'4. '!O243)</f>
        <v/>
      </c>
      <c r="Q20" s="42" t="str">
        <f>+IF($Q$5=0,"",'4. '!P243)</f>
        <v/>
      </c>
      <c r="R20" s="42" t="str">
        <f>+IF($R$5=0,"",'4. '!Q243)</f>
        <v/>
      </c>
      <c r="S20" s="42" t="str">
        <f>+IF($S$5=0,"",'4. '!R243)</f>
        <v/>
      </c>
      <c r="T20" s="42" t="str">
        <f>+IF($T$5=0,"",'4. '!S243)</f>
        <v/>
      </c>
      <c r="U20" s="42" t="str">
        <f>+IF($U$5=0,"",'4. '!T243)</f>
        <v/>
      </c>
      <c r="V20" s="42" t="str">
        <f>+IF($V$5=0,"",'4. '!U243)</f>
        <v/>
      </c>
      <c r="W20" s="42" t="str">
        <f>+IF($W$5=0,"",'4. '!V243)</f>
        <v/>
      </c>
      <c r="X20" s="42" t="str">
        <f>+IF($X$5=0,"",'4. '!W243)</f>
        <v/>
      </c>
      <c r="Y20" s="42" t="str">
        <f>+IF($Y$5=0,"",'4. '!X243)</f>
        <v/>
      </c>
      <c r="Z20" s="42" t="str">
        <f>+IF($Z$5=0,"",'4. '!Y243)</f>
        <v/>
      </c>
      <c r="AA20" s="42" t="str">
        <f>+IF($AA$5=0,"",'4. '!Z243)</f>
        <v/>
      </c>
      <c r="AB20" s="42" t="str">
        <f>+IF($AB$5=0,"",'4. '!AA243)</f>
        <v/>
      </c>
      <c r="AC20" s="42" t="str">
        <f>+IF($AC$5=0,"",'4. '!AB243)</f>
        <v/>
      </c>
      <c r="AD20" s="42" t="str">
        <f>+IF($AD$5=0,"",'4. '!AC243)</f>
        <v/>
      </c>
      <c r="AE20" s="42" t="str">
        <f>+IF($AE$5=0,"",'4. '!AD243)</f>
        <v/>
      </c>
      <c r="AF20" s="42" t="str">
        <f>+IF($AF$5=0,"",'4. '!AE243)</f>
        <v/>
      </c>
      <c r="AG20" s="49" t="e">
        <f t="shared" si="0"/>
        <v>#DIV/0!</v>
      </c>
      <c r="AH20" s="6">
        <v>15</v>
      </c>
    </row>
    <row r="21" spans="1:34" x14ac:dyDescent="0.25">
      <c r="B21" s="10" t="s">
        <v>294</v>
      </c>
      <c r="C21" s="42" t="str">
        <f>+IF($C$5=0,"",'4. '!B236)</f>
        <v/>
      </c>
      <c r="D21" s="42" t="str">
        <f>+IF($D$5=0,"",'4. '!C236)</f>
        <v/>
      </c>
      <c r="E21" s="42" t="str">
        <f>+IF($E$5=0,"",'4. '!D236)</f>
        <v/>
      </c>
      <c r="F21" s="42" t="str">
        <f>+IF($F$5=0,"",'4. '!E236)</f>
        <v/>
      </c>
      <c r="G21" s="42" t="str">
        <f>+IF($G$5=0,"",'4. '!F236)</f>
        <v/>
      </c>
      <c r="H21" s="42" t="str">
        <f>+IF($H$5=0,"",'4. '!G236)</f>
        <v/>
      </c>
      <c r="I21" s="42" t="str">
        <f>+IF($I$5=0,"",'4. '!H236)</f>
        <v/>
      </c>
      <c r="J21" s="42" t="str">
        <f>+IF($J$5=0,"",'4. '!I236)</f>
        <v/>
      </c>
      <c r="K21" s="42" t="str">
        <f>+IF($K$5=0,"",'4. '!J236)</f>
        <v/>
      </c>
      <c r="L21" s="42" t="str">
        <f>+IF($L$5=0,"",'4. '!K236)</f>
        <v/>
      </c>
      <c r="M21" s="42" t="str">
        <f>+IF($M$5=0,"",'4. '!L236)</f>
        <v/>
      </c>
      <c r="N21" s="42" t="str">
        <f>+IF($N$5=0,"",'4. '!M236)</f>
        <v/>
      </c>
      <c r="O21" s="42" t="str">
        <f>+IF($O$5=0,"",'4. '!N236)</f>
        <v/>
      </c>
      <c r="P21" s="42" t="str">
        <f>+IF($P$5=0,"",'4. '!O236)</f>
        <v/>
      </c>
      <c r="Q21" s="42" t="str">
        <f>+IF($Q$5=0,"",'4. '!P236)</f>
        <v/>
      </c>
      <c r="R21" s="42" t="str">
        <f>+IF($R$5=0,"",'4. '!Q236)</f>
        <v/>
      </c>
      <c r="S21" s="42" t="str">
        <f>+IF($S$5=0,"",'4. '!R236)</f>
        <v/>
      </c>
      <c r="T21" s="42" t="str">
        <f>+IF($T$5=0,"",'4. '!S236)</f>
        <v/>
      </c>
      <c r="U21" s="42" t="str">
        <f>+IF($U$5=0,"",'4. '!T236)</f>
        <v/>
      </c>
      <c r="V21" s="42" t="str">
        <f>+IF($V$5=0,"",'4. '!U236)</f>
        <v/>
      </c>
      <c r="W21" s="42" t="str">
        <f>+IF($W$5=0,"",'4. '!V236)</f>
        <v/>
      </c>
      <c r="X21" s="42" t="str">
        <f>+IF($X$5=0,"",'4. '!W236)</f>
        <v/>
      </c>
      <c r="Y21" s="42" t="str">
        <f>+IF($Y$5=0,"",'4. '!X236)</f>
        <v/>
      </c>
      <c r="Z21" s="42" t="str">
        <f>+IF($Z$5=0,"",'4. '!Y236)</f>
        <v/>
      </c>
      <c r="AA21" s="42" t="str">
        <f>+IF($AA$5=0,"",'4. '!Z236)</f>
        <v/>
      </c>
      <c r="AB21" s="42" t="str">
        <f>+IF($AB$5=0,"",'4. '!AA236)</f>
        <v/>
      </c>
      <c r="AC21" s="42" t="str">
        <f>+IF($AC$5=0,"",'4. '!AB236)</f>
        <v/>
      </c>
      <c r="AD21" s="42" t="str">
        <f>+IF($AD$5=0,"",'4. '!AC236)</f>
        <v/>
      </c>
      <c r="AE21" s="42" t="str">
        <f>+IF($AE$5=0,"",'4. '!AD236)</f>
        <v/>
      </c>
      <c r="AF21" s="42" t="str">
        <f>+IF($AF$5=0,"",'4. '!AE236)</f>
        <v/>
      </c>
      <c r="AG21" s="49" t="e">
        <f t="shared" si="0"/>
        <v>#DIV/0!</v>
      </c>
      <c r="AH21" s="6"/>
    </row>
    <row r="22" spans="1:34" x14ac:dyDescent="0.25">
      <c r="B22" s="10" t="s">
        <v>291</v>
      </c>
      <c r="C22" s="42" t="str">
        <f>+IF($C$5=0,"",'4. '!B233)</f>
        <v/>
      </c>
      <c r="D22" s="42" t="str">
        <f>+IF($D$5=0,"",'4. '!C233)</f>
        <v/>
      </c>
      <c r="E22" s="42" t="str">
        <f>+IF($E$5=0,"",'4. '!D233)</f>
        <v/>
      </c>
      <c r="F22" s="42" t="str">
        <f>+IF($F$5=0,"",'4. '!E233)</f>
        <v/>
      </c>
      <c r="G22" s="42" t="str">
        <f>+IF($G$5=0,"",'4. '!F233)</f>
        <v/>
      </c>
      <c r="H22" s="42" t="str">
        <f>+IF($H$5=0,"",'4. '!G233)</f>
        <v/>
      </c>
      <c r="I22" s="42" t="str">
        <f>+IF($I$5=0,"",'4. '!H233)</f>
        <v/>
      </c>
      <c r="J22" s="42" t="str">
        <f>+IF($J$5=0,"",'4. '!I233)</f>
        <v/>
      </c>
      <c r="K22" s="42" t="str">
        <f>+IF($K$5=0,"",'4. '!J233)</f>
        <v/>
      </c>
      <c r="L22" s="42" t="str">
        <f>+IF($L$5=0,"",'4. '!K233)</f>
        <v/>
      </c>
      <c r="M22" s="42" t="str">
        <f>+IF($M$5=0,"",'4. '!L233)</f>
        <v/>
      </c>
      <c r="N22" s="42" t="str">
        <f>+IF($N$5=0,"",'4. '!M233)</f>
        <v/>
      </c>
      <c r="O22" s="42" t="str">
        <f>+IF($O$5=0,"",'4. '!N233)</f>
        <v/>
      </c>
      <c r="P22" s="42" t="str">
        <f>+IF($P$5=0,"",'4. '!O233)</f>
        <v/>
      </c>
      <c r="Q22" s="42" t="str">
        <f>+IF($Q$5=0,"",'4. '!P233)</f>
        <v/>
      </c>
      <c r="R22" s="42" t="str">
        <f>+IF($R$5=0,"",'4. '!Q233)</f>
        <v/>
      </c>
      <c r="S22" s="42" t="str">
        <f>+IF($S$5=0,"",'4. '!R233)</f>
        <v/>
      </c>
      <c r="T22" s="42" t="str">
        <f>+IF($T$5=0,"",'4. '!S233)</f>
        <v/>
      </c>
      <c r="U22" s="42" t="str">
        <f>+IF($U$5=0,"",'4. '!T233)</f>
        <v/>
      </c>
      <c r="V22" s="42" t="str">
        <f>+IF($V$5=0,"",'4. '!U233)</f>
        <v/>
      </c>
      <c r="W22" s="42" t="str">
        <f>+IF($W$5=0,"",'4. '!V233)</f>
        <v/>
      </c>
      <c r="X22" s="42" t="str">
        <f>+IF($X$5=0,"",'4. '!W233)</f>
        <v/>
      </c>
      <c r="Y22" s="42" t="str">
        <f>+IF($Y$5=0,"",'4. '!X233)</f>
        <v/>
      </c>
      <c r="Z22" s="42" t="str">
        <f>+IF($Z$5=0,"",'4. '!Y233)</f>
        <v/>
      </c>
      <c r="AA22" s="42" t="str">
        <f>+IF($AA$5=0,"",'4. '!Z233)</f>
        <v/>
      </c>
      <c r="AB22" s="42" t="str">
        <f>+IF($AB$5=0,"",'4. '!AA233)</f>
        <v/>
      </c>
      <c r="AC22" s="42" t="str">
        <f>+IF($AC$5=0,"",'4. '!AB233)</f>
        <v/>
      </c>
      <c r="AD22" s="42" t="str">
        <f>+IF($AD$5=0,"",'4. '!AC233)</f>
        <v/>
      </c>
      <c r="AE22" s="42" t="str">
        <f>+IF($AE$5=0,"",'4. '!AD233)</f>
        <v/>
      </c>
      <c r="AF22" s="42" t="str">
        <f>+IF($AF$5=0,"",'4. '!AE233)</f>
        <v/>
      </c>
      <c r="AG22" s="49" t="e">
        <f t="shared" si="0"/>
        <v>#DIV/0!</v>
      </c>
      <c r="AH22" s="6"/>
    </row>
    <row r="23" spans="1:34" x14ac:dyDescent="0.25">
      <c r="B23" s="10" t="s">
        <v>296</v>
      </c>
      <c r="C23" s="42" t="str">
        <f>+IF($C$5=0,"",'4. '!B238)</f>
        <v/>
      </c>
      <c r="D23" s="42" t="str">
        <f>+IF($D$5=0,"",'4. '!C238)</f>
        <v/>
      </c>
      <c r="E23" s="42" t="str">
        <f>+IF($E$5=0,"",'4. '!D238)</f>
        <v/>
      </c>
      <c r="F23" s="42" t="str">
        <f>+IF($F$5=0,"",'4. '!E238)</f>
        <v/>
      </c>
      <c r="G23" s="42" t="str">
        <f>+IF($G$5=0,"",'4. '!F238)</f>
        <v/>
      </c>
      <c r="H23" s="42" t="str">
        <f>+IF($H$5=0,"",'4. '!G238)</f>
        <v/>
      </c>
      <c r="I23" s="42" t="str">
        <f>+IF($I$5=0,"",'4. '!H238)</f>
        <v/>
      </c>
      <c r="J23" s="42" t="str">
        <f>+IF($J$5=0,"",'4. '!I238)</f>
        <v/>
      </c>
      <c r="K23" s="42" t="str">
        <f>+IF($K$5=0,"",'4. '!J238)</f>
        <v/>
      </c>
      <c r="L23" s="42" t="str">
        <f>+IF($L$5=0,"",'4. '!K238)</f>
        <v/>
      </c>
      <c r="M23" s="42" t="str">
        <f>+IF($M$5=0,"",'4. '!L238)</f>
        <v/>
      </c>
      <c r="N23" s="42" t="str">
        <f>+IF($N$5=0,"",'4. '!M238)</f>
        <v/>
      </c>
      <c r="O23" s="42" t="str">
        <f>+IF($O$5=0,"",'4. '!N238)</f>
        <v/>
      </c>
      <c r="P23" s="42" t="str">
        <f>+IF($P$5=0,"",'4. '!O238)</f>
        <v/>
      </c>
      <c r="Q23" s="42" t="str">
        <f>+IF($Q$5=0,"",'4. '!P238)</f>
        <v/>
      </c>
      <c r="R23" s="42" t="str">
        <f>+IF($R$5=0,"",'4. '!Q238)</f>
        <v/>
      </c>
      <c r="S23" s="42" t="str">
        <f>+IF($S$5=0,"",'4. '!R238)</f>
        <v/>
      </c>
      <c r="T23" s="42" t="str">
        <f>+IF($T$5=0,"",'4. '!S238)</f>
        <v/>
      </c>
      <c r="U23" s="42" t="str">
        <f>+IF($U$5=0,"",'4. '!T238)</f>
        <v/>
      </c>
      <c r="V23" s="42" t="str">
        <f>+IF($V$5=0,"",'4. '!U238)</f>
        <v/>
      </c>
      <c r="W23" s="42" t="str">
        <f>+IF($W$5=0,"",'4. '!V238)</f>
        <v/>
      </c>
      <c r="X23" s="42" t="str">
        <f>+IF($X$5=0,"",'4. '!W238)</f>
        <v/>
      </c>
      <c r="Y23" s="42" t="str">
        <f>+IF($Y$5=0,"",'4. '!X238)</f>
        <v/>
      </c>
      <c r="Z23" s="42" t="str">
        <f>+IF($Z$5=0,"",'4. '!Y238)</f>
        <v/>
      </c>
      <c r="AA23" s="42" t="str">
        <f>+IF($AA$5=0,"",'4. '!Z238)</f>
        <v/>
      </c>
      <c r="AB23" s="42" t="str">
        <f>+IF($AB$5=0,"",'4. '!AA238)</f>
        <v/>
      </c>
      <c r="AC23" s="42" t="str">
        <f>+IF($AC$5=0,"",'4. '!AB238)</f>
        <v/>
      </c>
      <c r="AD23" s="42" t="str">
        <f>+IF($AD$5=0,"",'4. '!AC238)</f>
        <v/>
      </c>
      <c r="AE23" s="42" t="str">
        <f>+IF($AE$5=0,"",'4. '!AD238)</f>
        <v/>
      </c>
      <c r="AF23" s="42" t="str">
        <f>+IF($AF$5=0,"",'4. '!AE238)</f>
        <v/>
      </c>
      <c r="AG23" s="49" t="e">
        <f t="shared" si="0"/>
        <v>#DIV/0!</v>
      </c>
      <c r="AH23" s="6"/>
    </row>
    <row r="24" spans="1:34" x14ac:dyDescent="0.25">
      <c r="B24" s="10" t="s">
        <v>293</v>
      </c>
      <c r="C24" s="42" t="str">
        <f>+IF($C$5=0,"",'4. '!B235)</f>
        <v/>
      </c>
      <c r="D24" s="42" t="str">
        <f>+IF($D$5=0,"",'4. '!C235)</f>
        <v/>
      </c>
      <c r="E24" s="42" t="str">
        <f>+IF($E$5=0,"",'4. '!D235)</f>
        <v/>
      </c>
      <c r="F24" s="42" t="str">
        <f>+IF($F$5=0,"",'4. '!E235)</f>
        <v/>
      </c>
      <c r="G24" s="42" t="str">
        <f>+IF($G$5=0,"",'4. '!F235)</f>
        <v/>
      </c>
      <c r="H24" s="42" t="str">
        <f>+IF($H$5=0,"",'4. '!G235)</f>
        <v/>
      </c>
      <c r="I24" s="42" t="str">
        <f>+IF($I$5=0,"",'4. '!H235)</f>
        <v/>
      </c>
      <c r="J24" s="42" t="str">
        <f>+IF($J$5=0,"",'4. '!I235)</f>
        <v/>
      </c>
      <c r="K24" s="42" t="str">
        <f>+IF($K$5=0,"",'4. '!J235)</f>
        <v/>
      </c>
      <c r="L24" s="42" t="str">
        <f>+IF($L$5=0,"",'4. '!K235)</f>
        <v/>
      </c>
      <c r="M24" s="42" t="str">
        <f>+IF($M$5=0,"",'4. '!L235)</f>
        <v/>
      </c>
      <c r="N24" s="42" t="str">
        <f>+IF($N$5=0,"",'4. '!M235)</f>
        <v/>
      </c>
      <c r="O24" s="42" t="str">
        <f>+IF($O$5=0,"",'4. '!N235)</f>
        <v/>
      </c>
      <c r="P24" s="42" t="str">
        <f>+IF($P$5=0,"",'4. '!O235)</f>
        <v/>
      </c>
      <c r="Q24" s="42" t="str">
        <f>+IF($Q$5=0,"",'4. '!P235)</f>
        <v/>
      </c>
      <c r="R24" s="42" t="str">
        <f>+IF($R$5=0,"",'4. '!Q235)</f>
        <v/>
      </c>
      <c r="S24" s="42" t="str">
        <f>+IF($S$5=0,"",'4. '!R235)</f>
        <v/>
      </c>
      <c r="T24" s="42" t="str">
        <f>+IF($T$5=0,"",'4. '!S235)</f>
        <v/>
      </c>
      <c r="U24" s="42" t="str">
        <f>+IF($U$5=0,"",'4. '!T235)</f>
        <v/>
      </c>
      <c r="V24" s="42" t="str">
        <f>+IF($V$5=0,"",'4. '!U235)</f>
        <v/>
      </c>
      <c r="W24" s="42" t="str">
        <f>+IF($W$5=0,"",'4. '!V235)</f>
        <v/>
      </c>
      <c r="X24" s="42" t="str">
        <f>+IF($X$5=0,"",'4. '!W235)</f>
        <v/>
      </c>
      <c r="Y24" s="42" t="str">
        <f>+IF($Y$5=0,"",'4. '!X235)</f>
        <v/>
      </c>
      <c r="Z24" s="42" t="str">
        <f>+IF($Z$5=0,"",'4. '!Y235)</f>
        <v/>
      </c>
      <c r="AA24" s="42" t="str">
        <f>+IF($AA$5=0,"",'4. '!Z235)</f>
        <v/>
      </c>
      <c r="AB24" s="42" t="str">
        <f>+IF($AB$5=0,"",'4. '!AA235)</f>
        <v/>
      </c>
      <c r="AC24" s="42" t="str">
        <f>+IF($AC$5=0,"",'4. '!AB235)</f>
        <v/>
      </c>
      <c r="AD24" s="42" t="str">
        <f>+IF($AD$5=0,"",'4. '!AC235)</f>
        <v/>
      </c>
      <c r="AE24" s="42" t="str">
        <f>+IF($AE$5=0,"",'4. '!AD235)</f>
        <v/>
      </c>
      <c r="AF24" s="42" t="str">
        <f>+IF($AF$5=0,"",'4. '!AE235)</f>
        <v/>
      </c>
      <c r="AG24" s="49" t="e">
        <f t="shared" si="0"/>
        <v>#DIV/0!</v>
      </c>
      <c r="AH24" s="6"/>
    </row>
    <row r="25" spans="1:34" x14ac:dyDescent="0.25">
      <c r="B25" s="10" t="s">
        <v>285</v>
      </c>
      <c r="C25" s="42" t="str">
        <f>+IF($C$5=0,"",'4. '!B227)</f>
        <v/>
      </c>
      <c r="D25" s="42" t="str">
        <f>+IF($D$5=0,"",'4. '!C227)</f>
        <v/>
      </c>
      <c r="E25" s="42" t="str">
        <f>+IF($E$5=0,"",'4. '!D227)</f>
        <v/>
      </c>
      <c r="F25" s="42" t="str">
        <f>+IF($F$5=0,"",'4. '!E227)</f>
        <v/>
      </c>
      <c r="G25" s="42" t="str">
        <f>+IF($G$5=0,"",'4. '!F227)</f>
        <v/>
      </c>
      <c r="H25" s="42" t="str">
        <f>+IF($H$5=0,"",'4. '!G227)</f>
        <v/>
      </c>
      <c r="I25" s="42" t="str">
        <f>+IF($I$5=0,"",'4. '!H227)</f>
        <v/>
      </c>
      <c r="J25" s="42" t="str">
        <f>+IF($J$5=0,"",'4. '!I227)</f>
        <v/>
      </c>
      <c r="K25" s="42" t="str">
        <f>+IF($K$5=0,"",'4. '!J227)</f>
        <v/>
      </c>
      <c r="L25" s="42" t="str">
        <f>+IF($L$5=0,"",'4. '!K227)</f>
        <v/>
      </c>
      <c r="M25" s="42" t="str">
        <f>+IF($M$5=0,"",'4. '!L227)</f>
        <v/>
      </c>
      <c r="N25" s="42" t="str">
        <f>+IF($N$5=0,"",'4. '!M227)</f>
        <v/>
      </c>
      <c r="O25" s="42" t="str">
        <f>+IF($O$5=0,"",'4. '!N227)</f>
        <v/>
      </c>
      <c r="P25" s="42" t="str">
        <f>+IF($P$5=0,"",'4. '!O227)</f>
        <v/>
      </c>
      <c r="Q25" s="42" t="str">
        <f>+IF($Q$5=0,"",'4. '!P227)</f>
        <v/>
      </c>
      <c r="R25" s="42" t="str">
        <f>+IF($R$5=0,"",'4. '!Q227)</f>
        <v/>
      </c>
      <c r="S25" s="42" t="str">
        <f>+IF($S$5=0,"",'4. '!R227)</f>
        <v/>
      </c>
      <c r="T25" s="42" t="str">
        <f>+IF($T$5=0,"",'4. '!S227)</f>
        <v/>
      </c>
      <c r="U25" s="42" t="str">
        <f>+IF($U$5=0,"",'4. '!T227)</f>
        <v/>
      </c>
      <c r="V25" s="42" t="str">
        <f>+IF($V$5=0,"",'4. '!U227)</f>
        <v/>
      </c>
      <c r="W25" s="42" t="str">
        <f>+IF($W$5=0,"",'4. '!V227)</f>
        <v/>
      </c>
      <c r="X25" s="42" t="str">
        <f>+IF($X$5=0,"",'4. '!W227)</f>
        <v/>
      </c>
      <c r="Y25" s="42" t="str">
        <f>+IF($Y$5=0,"",'4. '!X227)</f>
        <v/>
      </c>
      <c r="Z25" s="42" t="str">
        <f>+IF($Z$5=0,"",'4. '!Y227)</f>
        <v/>
      </c>
      <c r="AA25" s="42" t="str">
        <f>+IF($AA$5=0,"",'4. '!Z227)</f>
        <v/>
      </c>
      <c r="AB25" s="42" t="str">
        <f>+IF($AB$5=0,"",'4. '!AA227)</f>
        <v/>
      </c>
      <c r="AC25" s="42" t="str">
        <f>+IF($AC$5=0,"",'4. '!AB227)</f>
        <v/>
      </c>
      <c r="AD25" s="42" t="str">
        <f>+IF($AD$5=0,"",'4. '!AC227)</f>
        <v/>
      </c>
      <c r="AE25" s="42" t="str">
        <f>+IF($AE$5=0,"",'4. '!AD227)</f>
        <v/>
      </c>
      <c r="AF25" s="42" t="str">
        <f>+IF($AF$5=0,"",'4. '!AE227)</f>
        <v/>
      </c>
      <c r="AG25" s="49" t="e">
        <f t="shared" si="0"/>
        <v>#DIV/0!</v>
      </c>
      <c r="AH25" s="6"/>
    </row>
    <row r="26" spans="1:34" x14ac:dyDescent="0.25">
      <c r="B26" s="10" t="s">
        <v>282</v>
      </c>
      <c r="C26" s="42" t="str">
        <f>+IF($C$5=0,"",'4. '!B224)</f>
        <v/>
      </c>
      <c r="D26" s="42" t="str">
        <f>+IF($D$5=0,"",'4. '!C224)</f>
        <v/>
      </c>
      <c r="E26" s="42" t="str">
        <f>+IF($E$5=0,"",'4. '!D224)</f>
        <v/>
      </c>
      <c r="F26" s="42" t="str">
        <f>+IF($F$5=0,"",'4. '!E224)</f>
        <v/>
      </c>
      <c r="G26" s="42" t="str">
        <f>+IF($G$5=0,"",'4. '!F224)</f>
        <v/>
      </c>
      <c r="H26" s="42" t="str">
        <f>+IF($H$5=0,"",'4. '!G224)</f>
        <v/>
      </c>
      <c r="I26" s="42" t="str">
        <f>+IF($I$5=0,"",'4. '!H224)</f>
        <v/>
      </c>
      <c r="J26" s="42" t="str">
        <f>+IF($J$5=0,"",'4. '!I224)</f>
        <v/>
      </c>
      <c r="K26" s="42" t="str">
        <f>+IF($K$5=0,"",'4. '!J224)</f>
        <v/>
      </c>
      <c r="L26" s="42" t="str">
        <f>+IF($L$5=0,"",'4. '!K224)</f>
        <v/>
      </c>
      <c r="M26" s="42" t="str">
        <f>+IF($M$5=0,"",'4. '!L224)</f>
        <v/>
      </c>
      <c r="N26" s="42" t="str">
        <f>+IF($N$5=0,"",'4. '!M224)</f>
        <v/>
      </c>
      <c r="O26" s="42" t="str">
        <f>+IF($O$5=0,"",'4. '!N224)</f>
        <v/>
      </c>
      <c r="P26" s="42" t="str">
        <f>+IF($P$5=0,"",'4. '!O224)</f>
        <v/>
      </c>
      <c r="Q26" s="42" t="str">
        <f>+IF($Q$5=0,"",'4. '!P224)</f>
        <v/>
      </c>
      <c r="R26" s="42" t="str">
        <f>+IF($R$5=0,"",'4. '!Q224)</f>
        <v/>
      </c>
      <c r="S26" s="42" t="str">
        <f>+IF($S$5=0,"",'4. '!R224)</f>
        <v/>
      </c>
      <c r="T26" s="42" t="str">
        <f>+IF($T$5=0,"",'4. '!S224)</f>
        <v/>
      </c>
      <c r="U26" s="42" t="str">
        <f>+IF($U$5=0,"",'4. '!T224)</f>
        <v/>
      </c>
      <c r="V26" s="42" t="str">
        <f>+IF($V$5=0,"",'4. '!U224)</f>
        <v/>
      </c>
      <c r="W26" s="42" t="str">
        <f>+IF($W$5=0,"",'4. '!V224)</f>
        <v/>
      </c>
      <c r="X26" s="42" t="str">
        <f>+IF($X$5=0,"",'4. '!W224)</f>
        <v/>
      </c>
      <c r="Y26" s="42" t="str">
        <f>+IF($Y$5=0,"",'4. '!X224)</f>
        <v/>
      </c>
      <c r="Z26" s="42" t="str">
        <f>+IF($Z$5=0,"",'4. '!Y224)</f>
        <v/>
      </c>
      <c r="AA26" s="42" t="str">
        <f>+IF($AA$5=0,"",'4. '!Z224)</f>
        <v/>
      </c>
      <c r="AB26" s="42" t="str">
        <f>+IF($AB$5=0,"",'4. '!AA224)</f>
        <v/>
      </c>
      <c r="AC26" s="42" t="str">
        <f>+IF($AC$5=0,"",'4. '!AB224)</f>
        <v/>
      </c>
      <c r="AD26" s="42" t="str">
        <f>+IF($AD$5=0,"",'4. '!AC224)</f>
        <v/>
      </c>
      <c r="AE26" s="42" t="str">
        <f>+IF($AE$5=0,"",'4. '!AD224)</f>
        <v/>
      </c>
      <c r="AF26" s="42" t="str">
        <f>+IF($AF$5=0,"",'4. '!AE224)</f>
        <v/>
      </c>
      <c r="AG26" s="49" t="e">
        <f t="shared" si="0"/>
        <v>#DIV/0!</v>
      </c>
      <c r="AH26" s="6"/>
    </row>
    <row r="27" spans="1:34" x14ac:dyDescent="0.25">
      <c r="B27" s="10" t="s">
        <v>287</v>
      </c>
      <c r="C27" s="42" t="str">
        <f>+IF($C$5=0,"",'4. '!B229)</f>
        <v/>
      </c>
      <c r="D27" s="42" t="str">
        <f>+IF($D$5=0,"",'4. '!C229)</f>
        <v/>
      </c>
      <c r="E27" s="42" t="str">
        <f>+IF($E$5=0,"",'4. '!D229)</f>
        <v/>
      </c>
      <c r="F27" s="42" t="str">
        <f>+IF($F$5=0,"",'4. '!E229)</f>
        <v/>
      </c>
      <c r="G27" s="42" t="str">
        <f>+IF($G$5=0,"",'4. '!F229)</f>
        <v/>
      </c>
      <c r="H27" s="42" t="str">
        <f>+IF($H$5=0,"",'4. '!G229)</f>
        <v/>
      </c>
      <c r="I27" s="42" t="str">
        <f>+IF($I$5=0,"",'4. '!H229)</f>
        <v/>
      </c>
      <c r="J27" s="42" t="str">
        <f>+IF($J$5=0,"",'4. '!I229)</f>
        <v/>
      </c>
      <c r="K27" s="42" t="str">
        <f>+IF($K$5=0,"",'4. '!J229)</f>
        <v/>
      </c>
      <c r="L27" s="42" t="str">
        <f>+IF($L$5=0,"",'4. '!K229)</f>
        <v/>
      </c>
      <c r="M27" s="42" t="str">
        <f>+IF($M$5=0,"",'4. '!L229)</f>
        <v/>
      </c>
      <c r="N27" s="42" t="str">
        <f>+IF($N$5=0,"",'4. '!M229)</f>
        <v/>
      </c>
      <c r="O27" s="42" t="str">
        <f>+IF($O$5=0,"",'4. '!N229)</f>
        <v/>
      </c>
      <c r="P27" s="42" t="str">
        <f>+IF($P$5=0,"",'4. '!O229)</f>
        <v/>
      </c>
      <c r="Q27" s="42" t="str">
        <f>+IF($Q$5=0,"",'4. '!P229)</f>
        <v/>
      </c>
      <c r="R27" s="42" t="str">
        <f>+IF($R$5=0,"",'4. '!Q229)</f>
        <v/>
      </c>
      <c r="S27" s="42" t="str">
        <f>+IF($S$5=0,"",'4. '!R229)</f>
        <v/>
      </c>
      <c r="T27" s="42" t="str">
        <f>+IF($T$5=0,"",'4. '!S229)</f>
        <v/>
      </c>
      <c r="U27" s="42" t="str">
        <f>+IF($U$5=0,"",'4. '!T229)</f>
        <v/>
      </c>
      <c r="V27" s="42" t="str">
        <f>+IF($V$5=0,"",'4. '!U229)</f>
        <v/>
      </c>
      <c r="W27" s="42" t="str">
        <f>+IF($W$5=0,"",'4. '!V229)</f>
        <v/>
      </c>
      <c r="X27" s="42" t="str">
        <f>+IF($X$5=0,"",'4. '!W229)</f>
        <v/>
      </c>
      <c r="Y27" s="42" t="str">
        <f>+IF($Y$5=0,"",'4. '!X229)</f>
        <v/>
      </c>
      <c r="Z27" s="42" t="str">
        <f>+IF($Z$5=0,"",'4. '!Y229)</f>
        <v/>
      </c>
      <c r="AA27" s="42" t="str">
        <f>+IF($AA$5=0,"",'4. '!Z229)</f>
        <v/>
      </c>
      <c r="AB27" s="42" t="str">
        <f>+IF($AB$5=0,"",'4. '!AA229)</f>
        <v/>
      </c>
      <c r="AC27" s="42" t="str">
        <f>+IF($AC$5=0,"",'4. '!AB229)</f>
        <v/>
      </c>
      <c r="AD27" s="42" t="str">
        <f>+IF($AD$5=0,"",'4. '!AC229)</f>
        <v/>
      </c>
      <c r="AE27" s="42" t="str">
        <f>+IF($AE$5=0,"",'4. '!AD229)</f>
        <v/>
      </c>
      <c r="AF27" s="42" t="str">
        <f>+IF($AF$5=0,"",'4. '!AE229)</f>
        <v/>
      </c>
      <c r="AG27" s="49" t="e">
        <f t="shared" si="0"/>
        <v>#DIV/0!</v>
      </c>
      <c r="AH27" s="6"/>
    </row>
    <row r="28" spans="1:34" x14ac:dyDescent="0.25">
      <c r="B28" s="10" t="s">
        <v>284</v>
      </c>
      <c r="C28" s="42" t="str">
        <f>+IF($C$5=0,"",'4. '!B226)</f>
        <v/>
      </c>
      <c r="D28" s="42" t="str">
        <f>+IF($D$5=0,"",'4. '!C226)</f>
        <v/>
      </c>
      <c r="E28" s="42" t="str">
        <f>+IF($E$5=0,"",'4. '!D226)</f>
        <v/>
      </c>
      <c r="F28" s="42" t="str">
        <f>+IF($F$5=0,"",'4. '!E226)</f>
        <v/>
      </c>
      <c r="G28" s="42" t="str">
        <f>+IF($G$5=0,"",'4. '!F226)</f>
        <v/>
      </c>
      <c r="H28" s="42" t="str">
        <f>+IF($H$5=0,"",'4. '!G226)</f>
        <v/>
      </c>
      <c r="I28" s="42" t="str">
        <f>+IF($I$5=0,"",'4. '!H226)</f>
        <v/>
      </c>
      <c r="J28" s="42" t="str">
        <f>+IF($J$5=0,"",'4. '!I226)</f>
        <v/>
      </c>
      <c r="K28" s="42" t="str">
        <f>+IF($K$5=0,"",'4. '!J226)</f>
        <v/>
      </c>
      <c r="L28" s="42" t="str">
        <f>+IF($L$5=0,"",'4. '!K226)</f>
        <v/>
      </c>
      <c r="M28" s="42" t="str">
        <f>+IF($M$5=0,"",'4. '!L226)</f>
        <v/>
      </c>
      <c r="N28" s="42" t="str">
        <f>+IF($N$5=0,"",'4. '!M226)</f>
        <v/>
      </c>
      <c r="O28" s="42" t="str">
        <f>+IF($O$5=0,"",'4. '!N226)</f>
        <v/>
      </c>
      <c r="P28" s="42" t="str">
        <f>+IF($P$5=0,"",'4. '!O226)</f>
        <v/>
      </c>
      <c r="Q28" s="42" t="str">
        <f>+IF($Q$5=0,"",'4. '!P226)</f>
        <v/>
      </c>
      <c r="R28" s="42" t="str">
        <f>+IF($R$5=0,"",'4. '!Q226)</f>
        <v/>
      </c>
      <c r="S28" s="42" t="str">
        <f>+IF($S$5=0,"",'4. '!R226)</f>
        <v/>
      </c>
      <c r="T28" s="42" t="str">
        <f>+IF($T$5=0,"",'4. '!S226)</f>
        <v/>
      </c>
      <c r="U28" s="42" t="str">
        <f>+IF($U$5=0,"",'4. '!T226)</f>
        <v/>
      </c>
      <c r="V28" s="42" t="str">
        <f>+IF($V$5=0,"",'4. '!U226)</f>
        <v/>
      </c>
      <c r="W28" s="42" t="str">
        <f>+IF($W$5=0,"",'4. '!V226)</f>
        <v/>
      </c>
      <c r="X28" s="42" t="str">
        <f>+IF($X$5=0,"",'4. '!W226)</f>
        <v/>
      </c>
      <c r="Y28" s="42" t="str">
        <f>+IF($Y$5=0,"",'4. '!X226)</f>
        <v/>
      </c>
      <c r="Z28" s="42" t="str">
        <f>+IF($Z$5=0,"",'4. '!Y226)</f>
        <v/>
      </c>
      <c r="AA28" s="42" t="str">
        <f>+IF($AA$5=0,"",'4. '!Z226)</f>
        <v/>
      </c>
      <c r="AB28" s="42" t="str">
        <f>+IF($AB$5=0,"",'4. '!AA226)</f>
        <v/>
      </c>
      <c r="AC28" s="42" t="str">
        <f>+IF($AC$5=0,"",'4. '!AB226)</f>
        <v/>
      </c>
      <c r="AD28" s="42" t="str">
        <f>+IF($AD$5=0,"",'4. '!AC226)</f>
        <v/>
      </c>
      <c r="AE28" s="42" t="str">
        <f>+IF($AE$5=0,"",'4. '!AD226)</f>
        <v/>
      </c>
      <c r="AF28" s="42" t="str">
        <f>+IF($AF$5=0,"",'4. '!AE226)</f>
        <v/>
      </c>
      <c r="AG28" s="49" t="e">
        <f t="shared" si="0"/>
        <v>#DIV/0!</v>
      </c>
      <c r="AH28" s="6"/>
    </row>
    <row r="29" spans="1:34" x14ac:dyDescent="0.25">
      <c r="B29" s="10" t="s">
        <v>262</v>
      </c>
      <c r="C29" s="42" t="str">
        <f>+IF($C$5=0,"",'4. '!B204)</f>
        <v/>
      </c>
      <c r="D29" s="42" t="str">
        <f>+IF($D$5=0,"",'4. '!C204)</f>
        <v/>
      </c>
      <c r="E29" s="42" t="str">
        <f>+IF($E$5=0,"",'4. '!D204)</f>
        <v/>
      </c>
      <c r="F29" s="42" t="str">
        <f>+IF($F$5=0,"",'4. '!E204)</f>
        <v/>
      </c>
      <c r="G29" s="42" t="str">
        <f>+IF($G$5=0,"",'4. '!F204)</f>
        <v/>
      </c>
      <c r="H29" s="42" t="str">
        <f>+IF($H$5=0,"",'4. '!G204)</f>
        <v/>
      </c>
      <c r="I29" s="42" t="str">
        <f>+IF($I$5=0,"",'4. '!H204)</f>
        <v/>
      </c>
      <c r="J29" s="42" t="str">
        <f>+IF($J$5=0,"",'4. '!I204)</f>
        <v/>
      </c>
      <c r="K29" s="42" t="str">
        <f>+IF($K$5=0,"",'4. '!J204)</f>
        <v/>
      </c>
      <c r="L29" s="42" t="str">
        <f>+IF($L$5=0,"",'4. '!K204)</f>
        <v/>
      </c>
      <c r="M29" s="42" t="str">
        <f>+IF($M$5=0,"",'4. '!L204)</f>
        <v/>
      </c>
      <c r="N29" s="42" t="str">
        <f>+IF($N$5=0,"",'4. '!M204)</f>
        <v/>
      </c>
      <c r="O29" s="42" t="str">
        <f>+IF($O$5=0,"",'4. '!N204)</f>
        <v/>
      </c>
      <c r="P29" s="42" t="str">
        <f>+IF($P$5=0,"",'4. '!O204)</f>
        <v/>
      </c>
      <c r="Q29" s="42" t="str">
        <f>+IF($Q$5=0,"",'4. '!P204)</f>
        <v/>
      </c>
      <c r="R29" s="42" t="str">
        <f>+IF($R$5=0,"",'4. '!Q204)</f>
        <v/>
      </c>
      <c r="S29" s="42" t="str">
        <f>+IF($S$5=0,"",'4. '!R204)</f>
        <v/>
      </c>
      <c r="T29" s="42" t="str">
        <f>+IF($T$5=0,"",'4. '!S204)</f>
        <v/>
      </c>
      <c r="U29" s="42" t="str">
        <f>+IF($U$5=0,"",'4. '!T204)</f>
        <v/>
      </c>
      <c r="V29" s="42" t="str">
        <f>+IF($V$5=0,"",'4. '!U204)</f>
        <v/>
      </c>
      <c r="W29" s="42" t="str">
        <f>+IF($W$5=0,"",'4. '!V204)</f>
        <v/>
      </c>
      <c r="X29" s="42" t="str">
        <f>+IF($X$5=0,"",'4. '!W204)</f>
        <v/>
      </c>
      <c r="Y29" s="42" t="str">
        <f>+IF($Y$5=0,"",'4. '!X204)</f>
        <v/>
      </c>
      <c r="Z29" s="42" t="str">
        <f>+IF($Z$5=0,"",'4. '!Y204)</f>
        <v/>
      </c>
      <c r="AA29" s="42" t="str">
        <f>+IF($AA$5=0,"",'4. '!Z204)</f>
        <v/>
      </c>
      <c r="AB29" s="42" t="str">
        <f>+IF($AB$5=0,"",'4. '!AA204)</f>
        <v/>
      </c>
      <c r="AC29" s="42" t="str">
        <f>+IF($AC$5=0,"",'4. '!AB204)</f>
        <v/>
      </c>
      <c r="AD29" s="42" t="str">
        <f>+IF($AD$5=0,"",'4. '!AC204)</f>
        <v/>
      </c>
      <c r="AE29" s="42" t="str">
        <f>+IF($AE$5=0,"",'4. '!AD204)</f>
        <v/>
      </c>
      <c r="AF29" s="42" t="str">
        <f>+IF($AF$5=0,"",'4. '!AE204)</f>
        <v/>
      </c>
      <c r="AG29" s="49" t="e">
        <f t="shared" si="0"/>
        <v>#DIV/0!</v>
      </c>
      <c r="AH29" s="6"/>
    </row>
    <row r="30" spans="1:34" x14ac:dyDescent="0.25">
      <c r="B30" s="10" t="s">
        <v>253</v>
      </c>
      <c r="C30" s="42" t="str">
        <f>+IF($C$5=0,"",'4. '!B195)</f>
        <v/>
      </c>
      <c r="D30" s="42" t="str">
        <f>+IF($D$5=0,"",'4. '!C195)</f>
        <v/>
      </c>
      <c r="E30" s="42" t="str">
        <f>+IF($E$5=0,"",'4. '!D195)</f>
        <v/>
      </c>
      <c r="F30" s="42" t="str">
        <f>+IF($F$5=0,"",'4. '!E195)</f>
        <v/>
      </c>
      <c r="G30" s="42" t="str">
        <f>+IF($G$5=0,"",'4. '!F195)</f>
        <v/>
      </c>
      <c r="H30" s="42" t="str">
        <f>+IF($H$5=0,"",'4. '!G195)</f>
        <v/>
      </c>
      <c r="I30" s="42" t="str">
        <f>+IF($I$5=0,"",'4. '!H195)</f>
        <v/>
      </c>
      <c r="J30" s="42" t="str">
        <f>+IF($J$5=0,"",'4. '!I195)</f>
        <v/>
      </c>
      <c r="K30" s="42" t="str">
        <f>+IF($K$5=0,"",'4. '!J195)</f>
        <v/>
      </c>
      <c r="L30" s="42" t="str">
        <f>+IF($L$5=0,"",'4. '!K195)</f>
        <v/>
      </c>
      <c r="M30" s="42" t="str">
        <f>+IF($M$5=0,"",'4. '!L195)</f>
        <v/>
      </c>
      <c r="N30" s="42" t="str">
        <f>+IF($N$5=0,"",'4. '!M195)</f>
        <v/>
      </c>
      <c r="O30" s="42" t="str">
        <f>+IF($O$5=0,"",'4. '!N195)</f>
        <v/>
      </c>
      <c r="P30" s="42" t="str">
        <f>+IF($P$5=0,"",'4. '!O195)</f>
        <v/>
      </c>
      <c r="Q30" s="42" t="str">
        <f>+IF($Q$5=0,"",'4. '!P195)</f>
        <v/>
      </c>
      <c r="R30" s="42" t="str">
        <f>+IF($R$5=0,"",'4. '!Q195)</f>
        <v/>
      </c>
      <c r="S30" s="42" t="str">
        <f>+IF($S$5=0,"",'4. '!R195)</f>
        <v/>
      </c>
      <c r="T30" s="42" t="str">
        <f>+IF($T$5=0,"",'4. '!S195)</f>
        <v/>
      </c>
      <c r="U30" s="42" t="str">
        <f>+IF($U$5=0,"",'4. '!T195)</f>
        <v/>
      </c>
      <c r="V30" s="42" t="str">
        <f>+IF($V$5=0,"",'4. '!U195)</f>
        <v/>
      </c>
      <c r="W30" s="42" t="str">
        <f>+IF($W$5=0,"",'4. '!V195)</f>
        <v/>
      </c>
      <c r="X30" s="42" t="str">
        <f>+IF($X$5=0,"",'4. '!W195)</f>
        <v/>
      </c>
      <c r="Y30" s="42" t="str">
        <f>+IF($Y$5=0,"",'4. '!X195)</f>
        <v/>
      </c>
      <c r="Z30" s="42" t="str">
        <f>+IF($Z$5=0,"",'4. '!Y195)</f>
        <v/>
      </c>
      <c r="AA30" s="42" t="str">
        <f>+IF($AA$5=0,"",'4. '!Z195)</f>
        <v/>
      </c>
      <c r="AB30" s="42" t="str">
        <f>+IF($AB$5=0,"",'4. '!AA195)</f>
        <v/>
      </c>
      <c r="AC30" s="42" t="str">
        <f>+IF($AC$5=0,"",'4. '!AB195)</f>
        <v/>
      </c>
      <c r="AD30" s="42" t="str">
        <f>+IF($AD$5=0,"",'4. '!AC195)</f>
        <v/>
      </c>
      <c r="AE30" s="42" t="str">
        <f>+IF($AE$5=0,"",'4. '!AD195)</f>
        <v/>
      </c>
      <c r="AF30" s="42" t="str">
        <f>+IF($AF$5=0,"",'4. '!AE195)</f>
        <v/>
      </c>
      <c r="AG30" s="49" t="e">
        <f t="shared" si="0"/>
        <v>#DIV/0!</v>
      </c>
      <c r="AH30" s="6"/>
    </row>
    <row r="31" spans="1:34" x14ac:dyDescent="0.25">
      <c r="B31" s="10" t="s">
        <v>235</v>
      </c>
      <c r="C31" s="42" t="str">
        <f>+IF($C$5=0,"",'4. '!B177)</f>
        <v/>
      </c>
      <c r="D31" s="42" t="str">
        <f>+IF($D$5=0,"",'4. '!C177)</f>
        <v/>
      </c>
      <c r="E31" s="42" t="str">
        <f>+IF($E$5=0,"",'4. '!D177)</f>
        <v/>
      </c>
      <c r="F31" s="42" t="str">
        <f>+IF($F$5=0,"",'4. '!E177)</f>
        <v/>
      </c>
      <c r="G31" s="42" t="str">
        <f>+IF($G$5=0,"",'4. '!F177)</f>
        <v/>
      </c>
      <c r="H31" s="42" t="str">
        <f>+IF($H$5=0,"",'4. '!G177)</f>
        <v/>
      </c>
      <c r="I31" s="42" t="str">
        <f>+IF($I$5=0,"",'4. '!H177)</f>
        <v/>
      </c>
      <c r="J31" s="42" t="str">
        <f>+IF($J$5=0,"",'4. '!I177)</f>
        <v/>
      </c>
      <c r="K31" s="42" t="str">
        <f>+IF($K$5=0,"",'4. '!J177)</f>
        <v/>
      </c>
      <c r="L31" s="42" t="str">
        <f>+IF($L$5=0,"",'4. '!K177)</f>
        <v/>
      </c>
      <c r="M31" s="42" t="str">
        <f>+IF($M$5=0,"",'4. '!L177)</f>
        <v/>
      </c>
      <c r="N31" s="42" t="str">
        <f>+IF($N$5=0,"",'4. '!M177)</f>
        <v/>
      </c>
      <c r="O31" s="42" t="str">
        <f>+IF($O$5=0,"",'4. '!N177)</f>
        <v/>
      </c>
      <c r="P31" s="42" t="str">
        <f>+IF($P$5=0,"",'4. '!O177)</f>
        <v/>
      </c>
      <c r="Q31" s="42" t="str">
        <f>+IF($Q$5=0,"",'4. '!P177)</f>
        <v/>
      </c>
      <c r="R31" s="42" t="str">
        <f>+IF($R$5=0,"",'4. '!Q177)</f>
        <v/>
      </c>
      <c r="S31" s="42" t="str">
        <f>+IF($S$5=0,"",'4. '!R177)</f>
        <v/>
      </c>
      <c r="T31" s="42" t="str">
        <f>+IF($T$5=0,"",'4. '!S177)</f>
        <v/>
      </c>
      <c r="U31" s="42" t="str">
        <f>+IF($U$5=0,"",'4. '!T177)</f>
        <v/>
      </c>
      <c r="V31" s="42" t="str">
        <f>+IF($V$5=0,"",'4. '!U177)</f>
        <v/>
      </c>
      <c r="W31" s="42" t="str">
        <f>+IF($W$5=0,"",'4. '!V177)</f>
        <v/>
      </c>
      <c r="X31" s="42" t="str">
        <f>+IF($X$5=0,"",'4. '!W177)</f>
        <v/>
      </c>
      <c r="Y31" s="42" t="str">
        <f>+IF($Y$5=0,"",'4. '!X177)</f>
        <v/>
      </c>
      <c r="Z31" s="42" t="str">
        <f>+IF($Z$5=0,"",'4. '!Y177)</f>
        <v/>
      </c>
      <c r="AA31" s="42" t="str">
        <f>+IF($AA$5=0,"",'4. '!Z177)</f>
        <v/>
      </c>
      <c r="AB31" s="42" t="str">
        <f>+IF($AB$5=0,"",'4. '!AA177)</f>
        <v/>
      </c>
      <c r="AC31" s="42" t="str">
        <f>+IF($AC$5=0,"",'4. '!AB177)</f>
        <v/>
      </c>
      <c r="AD31" s="42" t="str">
        <f>+IF($AD$5=0,"",'4. '!AC177)</f>
        <v/>
      </c>
      <c r="AE31" s="42" t="str">
        <f>+IF($AE$5=0,"",'4. '!AD177)</f>
        <v/>
      </c>
      <c r="AF31" s="42" t="str">
        <f>+IF($AF$5=0,"",'4. '!AE177)</f>
        <v/>
      </c>
      <c r="AG31" s="49" t="e">
        <f t="shared" si="0"/>
        <v>#DIV/0!</v>
      </c>
      <c r="AH31" s="6"/>
    </row>
    <row r="32" spans="1:34" x14ac:dyDescent="0.25">
      <c r="B32" s="10" t="s">
        <v>226</v>
      </c>
      <c r="C32" s="42" t="str">
        <f>+IF($C$5=0,"",'4. '!B168)</f>
        <v/>
      </c>
      <c r="D32" s="42" t="str">
        <f>+IF($D$5=0,"",'4. '!C168)</f>
        <v/>
      </c>
      <c r="E32" s="42" t="str">
        <f>+IF($E$5=0,"",'4. '!D168)</f>
        <v/>
      </c>
      <c r="F32" s="42" t="str">
        <f>+IF($F$5=0,"",'4. '!E168)</f>
        <v/>
      </c>
      <c r="G32" s="42" t="str">
        <f>+IF($G$5=0,"",'4. '!F168)</f>
        <v/>
      </c>
      <c r="H32" s="42" t="str">
        <f>+IF($H$5=0,"",'4. '!G168)</f>
        <v/>
      </c>
      <c r="I32" s="42" t="str">
        <f>+IF($I$5=0,"",'4. '!H168)</f>
        <v/>
      </c>
      <c r="J32" s="42" t="str">
        <f>+IF($J$5=0,"",'4. '!I168)</f>
        <v/>
      </c>
      <c r="K32" s="42" t="str">
        <f>+IF($K$5=0,"",'4. '!J168)</f>
        <v/>
      </c>
      <c r="L32" s="42" t="str">
        <f>+IF($L$5=0,"",'4. '!K168)</f>
        <v/>
      </c>
      <c r="M32" s="42" t="str">
        <f>+IF($M$5=0,"",'4. '!L168)</f>
        <v/>
      </c>
      <c r="N32" s="42" t="str">
        <f>+IF($N$5=0,"",'4. '!M168)</f>
        <v/>
      </c>
      <c r="O32" s="42" t="str">
        <f>+IF($O$5=0,"",'4. '!N168)</f>
        <v/>
      </c>
      <c r="P32" s="42" t="str">
        <f>+IF($P$5=0,"",'4. '!O168)</f>
        <v/>
      </c>
      <c r="Q32" s="42" t="str">
        <f>+IF($Q$5=0,"",'4. '!P168)</f>
        <v/>
      </c>
      <c r="R32" s="42" t="str">
        <f>+IF($R$5=0,"",'4. '!Q168)</f>
        <v/>
      </c>
      <c r="S32" s="42" t="str">
        <f>+IF($S$5=0,"",'4. '!R168)</f>
        <v/>
      </c>
      <c r="T32" s="42" t="str">
        <f>+IF($T$5=0,"",'4. '!S168)</f>
        <v/>
      </c>
      <c r="U32" s="42" t="str">
        <f>+IF($U$5=0,"",'4. '!T168)</f>
        <v/>
      </c>
      <c r="V32" s="42" t="str">
        <f>+IF($V$5=0,"",'4. '!U168)</f>
        <v/>
      </c>
      <c r="W32" s="42" t="str">
        <f>+IF($W$5=0,"",'4. '!V168)</f>
        <v/>
      </c>
      <c r="X32" s="42" t="str">
        <f>+IF($X$5=0,"",'4. '!W168)</f>
        <v/>
      </c>
      <c r="Y32" s="42" t="str">
        <f>+IF($Y$5=0,"",'4. '!X168)</f>
        <v/>
      </c>
      <c r="Z32" s="42" t="str">
        <f>+IF($Z$5=0,"",'4. '!Y168)</f>
        <v/>
      </c>
      <c r="AA32" s="42" t="str">
        <f>+IF($AA$5=0,"",'4. '!Z168)</f>
        <v/>
      </c>
      <c r="AB32" s="42" t="str">
        <f>+IF($AB$5=0,"",'4. '!AA168)</f>
        <v/>
      </c>
      <c r="AC32" s="42" t="str">
        <f>+IF($AC$5=0,"",'4. '!AB168)</f>
        <v/>
      </c>
      <c r="AD32" s="42" t="str">
        <f>+IF($AD$5=0,"",'4. '!AC168)</f>
        <v/>
      </c>
      <c r="AE32" s="42" t="str">
        <f>+IF($AE$5=0,"",'4. '!AD168)</f>
        <v/>
      </c>
      <c r="AF32" s="42" t="str">
        <f>+IF($AF$5=0,"",'4. '!AE168)</f>
        <v/>
      </c>
      <c r="AG32" s="49" t="e">
        <f t="shared" si="0"/>
        <v>#DIV/0!</v>
      </c>
      <c r="AH32" s="6"/>
    </row>
    <row r="33" spans="2:34" x14ac:dyDescent="0.25">
      <c r="B33" s="10" t="s">
        <v>208</v>
      </c>
      <c r="C33" s="42" t="str">
        <f>+IF($C$5=0,"",'4. '!B150)</f>
        <v/>
      </c>
      <c r="D33" s="42" t="str">
        <f>+IF($D$5=0,"",'4. '!C150)</f>
        <v/>
      </c>
      <c r="E33" s="42" t="str">
        <f>+IF($E$5=0,"",'4. '!D150)</f>
        <v/>
      </c>
      <c r="F33" s="42" t="str">
        <f>+IF($F$5=0,"",'4. '!E150)</f>
        <v/>
      </c>
      <c r="G33" s="42" t="str">
        <f>+IF($G$5=0,"",'4. '!F150)</f>
        <v/>
      </c>
      <c r="H33" s="42" t="str">
        <f>+IF($H$5=0,"",'4. '!G150)</f>
        <v/>
      </c>
      <c r="I33" s="42" t="str">
        <f>+IF($I$5=0,"",'4. '!H150)</f>
        <v/>
      </c>
      <c r="J33" s="42" t="str">
        <f>+IF($J$5=0,"",'4. '!I150)</f>
        <v/>
      </c>
      <c r="K33" s="42" t="str">
        <f>+IF($K$5=0,"",'4. '!J150)</f>
        <v/>
      </c>
      <c r="L33" s="42" t="str">
        <f>+IF($L$5=0,"",'4. '!K150)</f>
        <v/>
      </c>
      <c r="M33" s="42" t="str">
        <f>+IF($M$5=0,"",'4. '!L150)</f>
        <v/>
      </c>
      <c r="N33" s="42" t="str">
        <f>+IF($N$5=0,"",'4. '!M150)</f>
        <v/>
      </c>
      <c r="O33" s="42" t="str">
        <f>+IF($O$5=0,"",'4. '!N150)</f>
        <v/>
      </c>
      <c r="P33" s="42" t="str">
        <f>+IF($P$5=0,"",'4. '!O150)</f>
        <v/>
      </c>
      <c r="Q33" s="42" t="str">
        <f>+IF($Q$5=0,"",'4. '!P150)</f>
        <v/>
      </c>
      <c r="R33" s="42" t="str">
        <f>+IF($R$5=0,"",'4. '!Q150)</f>
        <v/>
      </c>
      <c r="S33" s="42" t="str">
        <f>+IF($S$5=0,"",'4. '!R150)</f>
        <v/>
      </c>
      <c r="T33" s="42" t="str">
        <f>+IF($T$5=0,"",'4. '!S150)</f>
        <v/>
      </c>
      <c r="U33" s="42" t="str">
        <f>+IF($U$5=0,"",'4. '!T150)</f>
        <v/>
      </c>
      <c r="V33" s="42" t="str">
        <f>+IF($V$5=0,"",'4. '!U150)</f>
        <v/>
      </c>
      <c r="W33" s="42" t="str">
        <f>+IF($W$5=0,"",'4. '!V150)</f>
        <v/>
      </c>
      <c r="X33" s="42" t="str">
        <f>+IF($X$5=0,"",'4. '!W150)</f>
        <v/>
      </c>
      <c r="Y33" s="42" t="str">
        <f>+IF($Y$5=0,"",'4. '!X150)</f>
        <v/>
      </c>
      <c r="Z33" s="42" t="str">
        <f>+IF($Z$5=0,"",'4. '!Y150)</f>
        <v/>
      </c>
      <c r="AA33" s="42" t="str">
        <f>+IF($AA$5=0,"",'4. '!Z150)</f>
        <v/>
      </c>
      <c r="AB33" s="42" t="str">
        <f>+IF($AB$5=0,"",'4. '!AA150)</f>
        <v/>
      </c>
      <c r="AC33" s="42" t="str">
        <f>+IF($AC$5=0,"",'4. '!AB150)</f>
        <v/>
      </c>
      <c r="AD33" s="42" t="str">
        <f>+IF($AD$5=0,"",'4. '!AC150)</f>
        <v/>
      </c>
      <c r="AE33" s="42" t="str">
        <f>+IF($AE$5=0,"",'4. '!AD150)</f>
        <v/>
      </c>
      <c r="AF33" s="42" t="str">
        <f>+IF($AF$5=0,"",'4. '!AE150)</f>
        <v/>
      </c>
      <c r="AG33" s="49" t="e">
        <f t="shared" si="0"/>
        <v>#DIV/0!</v>
      </c>
      <c r="AH33" s="6"/>
    </row>
    <row r="34" spans="2:34" x14ac:dyDescent="0.25">
      <c r="B34" s="10" t="s">
        <v>115</v>
      </c>
      <c r="C34" s="42" t="str">
        <f>+IF($C$5=0,"",'4. '!B69)</f>
        <v/>
      </c>
      <c r="D34" s="42" t="str">
        <f>+IF($D$5=0,"",'4. '!C69)</f>
        <v/>
      </c>
      <c r="E34" s="42" t="str">
        <f>+IF($E$5=0,"",'4. '!D69)</f>
        <v/>
      </c>
      <c r="F34" s="42" t="str">
        <f>+IF($F$5=0,"",'4. '!E69)</f>
        <v/>
      </c>
      <c r="G34" s="42" t="str">
        <f>+IF($G$5=0,"",'4. '!F69)</f>
        <v/>
      </c>
      <c r="H34" s="42" t="str">
        <f>+IF($H$5=0,"",'4. '!G69)</f>
        <v/>
      </c>
      <c r="I34" s="42" t="str">
        <f>+IF($I$5=0,"",'4. '!H69)</f>
        <v/>
      </c>
      <c r="J34" s="42" t="str">
        <f>+IF($J$5=0,"",'4. '!I69)</f>
        <v/>
      </c>
      <c r="K34" s="42" t="str">
        <f>+IF($K$5=0,"",'4. '!J69)</f>
        <v/>
      </c>
      <c r="L34" s="42" t="str">
        <f>+IF($L$5=0,"",'4. '!K69)</f>
        <v/>
      </c>
      <c r="M34" s="42" t="str">
        <f>+IF($M$5=0,"",'4. '!L69)</f>
        <v/>
      </c>
      <c r="N34" s="42" t="str">
        <f>+IF($N$5=0,"",'4. '!M69)</f>
        <v/>
      </c>
      <c r="O34" s="42" t="str">
        <f>+IF($O$5=0,"",'4. '!N69)</f>
        <v/>
      </c>
      <c r="P34" s="42" t="str">
        <f>+IF($P$5=0,"",'4. '!O69)</f>
        <v/>
      </c>
      <c r="Q34" s="42" t="str">
        <f>+IF($Q$5=0,"",'4. '!P69)</f>
        <v/>
      </c>
      <c r="R34" s="42" t="str">
        <f>+IF($R$5=0,"",'4. '!Q69)</f>
        <v/>
      </c>
      <c r="S34" s="42" t="str">
        <f>+IF($S$5=0,"",'4. '!R69)</f>
        <v/>
      </c>
      <c r="T34" s="42" t="str">
        <f>+IF($T$5=0,"",'4. '!S69)</f>
        <v/>
      </c>
      <c r="U34" s="42" t="str">
        <f>+IF($U$5=0,"",'4. '!T69)</f>
        <v/>
      </c>
      <c r="V34" s="42" t="str">
        <f>+IF($V$5=0,"",'4. '!U69)</f>
        <v/>
      </c>
      <c r="W34" s="42" t="str">
        <f>+IF($W$5=0,"",'4. '!V69)</f>
        <v/>
      </c>
      <c r="X34" s="42" t="str">
        <f>+IF($X$5=0,"",'4. '!W69)</f>
        <v/>
      </c>
      <c r="Y34" s="42" t="str">
        <f>+IF($Y$5=0,"",'4. '!X69)</f>
        <v/>
      </c>
      <c r="Z34" s="42" t="str">
        <f>+IF($Z$5=0,"",'4. '!Y69)</f>
        <v/>
      </c>
      <c r="AA34" s="42" t="str">
        <f>+IF($AA$5=0,"",'4. '!Z69)</f>
        <v/>
      </c>
      <c r="AB34" s="42" t="str">
        <f>+IF($AB$5=0,"",'4. '!AA69)</f>
        <v/>
      </c>
      <c r="AC34" s="42" t="str">
        <f>+IF($AC$5=0,"",'4. '!AB69)</f>
        <v/>
      </c>
      <c r="AD34" s="42" t="str">
        <f>+IF($AD$5=0,"",'4. '!AC69)</f>
        <v/>
      </c>
      <c r="AE34" s="42" t="str">
        <f>+IF($AE$5=0,"",'4. '!AD69)</f>
        <v/>
      </c>
      <c r="AF34" s="42" t="str">
        <f>+IF($AF$5=0,"",'4. '!AE69)</f>
        <v/>
      </c>
      <c r="AG34" s="49" t="e">
        <f t="shared" si="0"/>
        <v>#DIV/0!</v>
      </c>
      <c r="AH34" s="6"/>
    </row>
    <row r="35" spans="2:34" x14ac:dyDescent="0.25">
      <c r="B35" s="10" t="s">
        <v>199</v>
      </c>
      <c r="C35" s="42" t="str">
        <f>+IF($C$5=0,"",'4. '!B141)</f>
        <v/>
      </c>
      <c r="D35" s="42" t="str">
        <f>+IF($D$5=0,"",'4. '!C141)</f>
        <v/>
      </c>
      <c r="E35" s="42" t="str">
        <f>+IF($E$5=0,"",'4. '!D141)</f>
        <v/>
      </c>
      <c r="F35" s="42" t="str">
        <f>+IF($F$5=0,"",'4. '!E141)</f>
        <v/>
      </c>
      <c r="G35" s="42" t="str">
        <f>+IF($G$5=0,"",'4. '!F141)</f>
        <v/>
      </c>
      <c r="H35" s="42" t="str">
        <f>+IF($H$5=0,"",'4. '!G141)</f>
        <v/>
      </c>
      <c r="I35" s="42" t="str">
        <f>+IF($I$5=0,"",'4. '!H141)</f>
        <v/>
      </c>
      <c r="J35" s="42" t="str">
        <f>+IF($J$5=0,"",'4. '!I141)</f>
        <v/>
      </c>
      <c r="K35" s="42" t="str">
        <f>+IF($K$5=0,"",'4. '!J141)</f>
        <v/>
      </c>
      <c r="L35" s="42" t="str">
        <f>+IF($L$5=0,"",'4. '!K141)</f>
        <v/>
      </c>
      <c r="M35" s="42" t="str">
        <f>+IF($M$5=0,"",'4. '!L141)</f>
        <v/>
      </c>
      <c r="N35" s="42" t="str">
        <f>+IF($N$5=0,"",'4. '!M141)</f>
        <v/>
      </c>
      <c r="O35" s="42" t="str">
        <f>+IF($O$5=0,"",'4. '!N141)</f>
        <v/>
      </c>
      <c r="P35" s="42" t="str">
        <f>+IF($P$5=0,"",'4. '!O141)</f>
        <v/>
      </c>
      <c r="Q35" s="42" t="str">
        <f>+IF($Q$5=0,"",'4. '!P141)</f>
        <v/>
      </c>
      <c r="R35" s="42" t="str">
        <f>+IF($R$5=0,"",'4. '!Q141)</f>
        <v/>
      </c>
      <c r="S35" s="42" t="str">
        <f>+IF($S$5=0,"",'4. '!R141)</f>
        <v/>
      </c>
      <c r="T35" s="42" t="str">
        <f>+IF($T$5=0,"",'4. '!S141)</f>
        <v/>
      </c>
      <c r="U35" s="42" t="str">
        <f>+IF($U$5=0,"",'4. '!T141)</f>
        <v/>
      </c>
      <c r="V35" s="42" t="str">
        <f>+IF($V$5=0,"",'4. '!U141)</f>
        <v/>
      </c>
      <c r="W35" s="42" t="str">
        <f>+IF($W$5=0,"",'4. '!V141)</f>
        <v/>
      </c>
      <c r="X35" s="42" t="str">
        <f>+IF($X$5=0,"",'4. '!W141)</f>
        <v/>
      </c>
      <c r="Y35" s="42" t="str">
        <f>+IF($Y$5=0,"",'4. '!X141)</f>
        <v/>
      </c>
      <c r="Z35" s="42" t="str">
        <f>+IF($Z$5=0,"",'4. '!Y141)</f>
        <v/>
      </c>
      <c r="AA35" s="42" t="str">
        <f>+IF($AA$5=0,"",'4. '!Z141)</f>
        <v/>
      </c>
      <c r="AB35" s="42" t="str">
        <f>+IF($AB$5=0,"",'4. '!AA141)</f>
        <v/>
      </c>
      <c r="AC35" s="42" t="str">
        <f>+IF($AC$5=0,"",'4. '!AB141)</f>
        <v/>
      </c>
      <c r="AD35" s="42" t="str">
        <f>+IF($AD$5=0,"",'4. '!AC141)</f>
        <v/>
      </c>
      <c r="AE35" s="42" t="str">
        <f>+IF($AE$5=0,"",'4. '!AD141)</f>
        <v/>
      </c>
      <c r="AF35" s="42" t="str">
        <f>+IF($AF$5=0,"",'4. '!AE141)</f>
        <v/>
      </c>
      <c r="AG35" s="49" t="e">
        <f t="shared" si="0"/>
        <v>#DIV/0!</v>
      </c>
      <c r="AH35" s="6"/>
    </row>
    <row r="36" spans="2:34" x14ac:dyDescent="0.25">
      <c r="B36" s="10" t="s">
        <v>106</v>
      </c>
      <c r="C36" s="42" t="str">
        <f>+IF($C$5=0,"",'4. '!B60)</f>
        <v/>
      </c>
      <c r="D36" s="42" t="str">
        <f>+IF($D$5=0,"",'4. '!C60)</f>
        <v/>
      </c>
      <c r="E36" s="42" t="str">
        <f>+IF($E$5=0,"",'4. '!D60)</f>
        <v/>
      </c>
      <c r="F36" s="42" t="str">
        <f>+IF($F$5=0,"",'4. '!E60)</f>
        <v/>
      </c>
      <c r="G36" s="42" t="str">
        <f>+IF($G$5=0,"",'4. '!F60)</f>
        <v/>
      </c>
      <c r="H36" s="42" t="str">
        <f>+IF($H$5=0,"",'4. '!G60)</f>
        <v/>
      </c>
      <c r="I36" s="42" t="str">
        <f>+IF($I$5=0,"",'4. '!H60)</f>
        <v/>
      </c>
      <c r="J36" s="42" t="str">
        <f>+IF($J$5=0,"",'4. '!I60)</f>
        <v/>
      </c>
      <c r="K36" s="42" t="str">
        <f>+IF($K$5=0,"",'4. '!J60)</f>
        <v/>
      </c>
      <c r="L36" s="42" t="str">
        <f>+IF($L$5=0,"",'4. '!K60)</f>
        <v/>
      </c>
      <c r="M36" s="42" t="str">
        <f>+IF($M$5=0,"",'4. '!L60)</f>
        <v/>
      </c>
      <c r="N36" s="42" t="str">
        <f>+IF($N$5=0,"",'4. '!M60)</f>
        <v/>
      </c>
      <c r="O36" s="42" t="str">
        <f>+IF($O$5=0,"",'4. '!N60)</f>
        <v/>
      </c>
      <c r="P36" s="42" t="str">
        <f>+IF($P$5=0,"",'4. '!O60)</f>
        <v/>
      </c>
      <c r="Q36" s="42" t="str">
        <f>+IF($Q$5=0,"",'4. '!P60)</f>
        <v/>
      </c>
      <c r="R36" s="42" t="str">
        <f>+IF($R$5=0,"",'4. '!Q60)</f>
        <v/>
      </c>
      <c r="S36" s="42" t="str">
        <f>+IF($S$5=0,"",'4. '!R60)</f>
        <v/>
      </c>
      <c r="T36" s="42" t="str">
        <f>+IF($T$5=0,"",'4. '!S60)</f>
        <v/>
      </c>
      <c r="U36" s="42" t="str">
        <f>+IF($U$5=0,"",'4. '!T60)</f>
        <v/>
      </c>
      <c r="V36" s="42" t="str">
        <f>+IF($V$5=0,"",'4. '!U60)</f>
        <v/>
      </c>
      <c r="W36" s="42" t="str">
        <f>+IF($W$5=0,"",'4. '!V60)</f>
        <v/>
      </c>
      <c r="X36" s="42" t="str">
        <f>+IF($X$5=0,"",'4. '!W60)</f>
        <v/>
      </c>
      <c r="Y36" s="42" t="str">
        <f>+IF($Y$5=0,"",'4. '!X60)</f>
        <v/>
      </c>
      <c r="Z36" s="42" t="str">
        <f>+IF($Z$5=0,"",'4. '!Y60)</f>
        <v/>
      </c>
      <c r="AA36" s="42" t="str">
        <f>+IF($AA$5=0,"",'4. '!Z60)</f>
        <v/>
      </c>
      <c r="AB36" s="42" t="str">
        <f>+IF($AB$5=0,"",'4. '!AA60)</f>
        <v/>
      </c>
      <c r="AC36" s="42" t="str">
        <f>+IF($AC$5=0,"",'4. '!AB60)</f>
        <v/>
      </c>
      <c r="AD36" s="42" t="str">
        <f>+IF($AD$5=0,"",'4. '!AC60)</f>
        <v/>
      </c>
      <c r="AE36" s="42" t="str">
        <f>+IF($AE$5=0,"",'4. '!AD60)</f>
        <v/>
      </c>
      <c r="AF36" s="42" t="str">
        <f>+IF($AF$5=0,"",'4. '!AE60)</f>
        <v/>
      </c>
      <c r="AG36" s="49" t="e">
        <f t="shared" si="0"/>
        <v>#DIV/0!</v>
      </c>
      <c r="AH36" s="6"/>
    </row>
    <row r="37" spans="2:34" x14ac:dyDescent="0.25">
      <c r="B37" s="10" t="s">
        <v>303</v>
      </c>
      <c r="C37" s="42" t="str">
        <f>+IF($C$5=0,"",'4. '!B245)</f>
        <v/>
      </c>
      <c r="D37" s="42" t="str">
        <f>+IF($D$5=0,"",'4. '!C245)</f>
        <v/>
      </c>
      <c r="E37" s="42" t="str">
        <f>+IF($E$5=0,"",'4. '!D245)</f>
        <v/>
      </c>
      <c r="F37" s="42" t="str">
        <f>+IF($F$5=0,"",'4. '!E245)</f>
        <v/>
      </c>
      <c r="G37" s="42" t="str">
        <f>+IF($G$5=0,"",'4. '!F245)</f>
        <v/>
      </c>
      <c r="H37" s="42" t="str">
        <f>+IF($H$5=0,"",'4. '!G245)</f>
        <v/>
      </c>
      <c r="I37" s="42" t="str">
        <f>+IF($I$5=0,"",'4. '!H245)</f>
        <v/>
      </c>
      <c r="J37" s="42" t="str">
        <f>+IF($J$5=0,"",'4. '!I245)</f>
        <v/>
      </c>
      <c r="K37" s="42" t="str">
        <f>+IF($K$5=0,"",'4. '!J245)</f>
        <v/>
      </c>
      <c r="L37" s="42" t="str">
        <f>+IF($L$5=0,"",'4. '!K245)</f>
        <v/>
      </c>
      <c r="M37" s="42" t="str">
        <f>+IF($M$5=0,"",'4. '!L245)</f>
        <v/>
      </c>
      <c r="N37" s="42" t="str">
        <f>+IF($N$5=0,"",'4. '!M245)</f>
        <v/>
      </c>
      <c r="O37" s="42" t="str">
        <f>+IF($O$5=0,"",'4. '!N245)</f>
        <v/>
      </c>
      <c r="P37" s="42" t="str">
        <f>+IF($P$5=0,"",'4. '!O245)</f>
        <v/>
      </c>
      <c r="Q37" s="42" t="str">
        <f>+IF($Q$5=0,"",'4. '!P245)</f>
        <v/>
      </c>
      <c r="R37" s="42" t="str">
        <f>+IF($R$5=0,"",'4. '!Q245)</f>
        <v/>
      </c>
      <c r="S37" s="42" t="str">
        <f>+IF($S$5=0,"",'4. '!R245)</f>
        <v/>
      </c>
      <c r="T37" s="42" t="str">
        <f>+IF($T$5=0,"",'4. '!S245)</f>
        <v/>
      </c>
      <c r="U37" s="42" t="str">
        <f>+IF($U$5=0,"",'4. '!T245)</f>
        <v/>
      </c>
      <c r="V37" s="42" t="str">
        <f>+IF($V$5=0,"",'4. '!U245)</f>
        <v/>
      </c>
      <c r="W37" s="42" t="str">
        <f>+IF($W$5=0,"",'4. '!V245)</f>
        <v/>
      </c>
      <c r="X37" s="42" t="str">
        <f>+IF($X$5=0,"",'4. '!W245)</f>
        <v/>
      </c>
      <c r="Y37" s="42" t="str">
        <f>+IF($Y$5=0,"",'4. '!X245)</f>
        <v/>
      </c>
      <c r="Z37" s="42" t="str">
        <f>+IF($Z$5=0,"",'4. '!Y245)</f>
        <v/>
      </c>
      <c r="AA37" s="42" t="str">
        <f>+IF($AA$5=0,"",'4. '!Z245)</f>
        <v/>
      </c>
      <c r="AB37" s="42" t="str">
        <f>+IF($AB$5=0,"",'4. '!AA245)</f>
        <v/>
      </c>
      <c r="AC37" s="42" t="str">
        <f>+IF($AC$5=0,"",'4. '!AB245)</f>
        <v/>
      </c>
      <c r="AD37" s="42" t="str">
        <f>+IF($AD$5=0,"",'4. '!AC245)</f>
        <v/>
      </c>
      <c r="AE37" s="42" t="str">
        <f>+IF($AE$5=0,"",'4. '!AD245)</f>
        <v/>
      </c>
      <c r="AF37" s="42" t="str">
        <f>+IF($AF$5=0,"",'4. '!AE245)</f>
        <v/>
      </c>
      <c r="AG37" s="49" t="e">
        <f t="shared" si="0"/>
        <v>#DIV/0!</v>
      </c>
      <c r="AH37" s="6"/>
    </row>
    <row r="38" spans="2:34" x14ac:dyDescent="0.25">
      <c r="B38" s="10" t="s">
        <v>300</v>
      </c>
      <c r="C38" s="42" t="str">
        <f>+IF($C$5=0,"",'4. '!B242)</f>
        <v/>
      </c>
      <c r="D38" s="42" t="str">
        <f>+IF($D$5=0,"",'4. '!C242)</f>
        <v/>
      </c>
      <c r="E38" s="42" t="str">
        <f>+IF($E$5=0,"",'4. '!D242)</f>
        <v/>
      </c>
      <c r="F38" s="42" t="str">
        <f>+IF($F$5=0,"",'4. '!E242)</f>
        <v/>
      </c>
      <c r="G38" s="42" t="str">
        <f>+IF($G$5=0,"",'4. '!F242)</f>
        <v/>
      </c>
      <c r="H38" s="42" t="str">
        <f>+IF($H$5=0,"",'4. '!G242)</f>
        <v/>
      </c>
      <c r="I38" s="42" t="str">
        <f>+IF($I$5=0,"",'4. '!H242)</f>
        <v/>
      </c>
      <c r="J38" s="42" t="str">
        <f>+IF($J$5=0,"",'4. '!I242)</f>
        <v/>
      </c>
      <c r="K38" s="42" t="str">
        <f>+IF($K$5=0,"",'4. '!J242)</f>
        <v/>
      </c>
      <c r="L38" s="42" t="str">
        <f>+IF($L$5=0,"",'4. '!K242)</f>
        <v/>
      </c>
      <c r="M38" s="42" t="str">
        <f>+IF($M$5=0,"",'4. '!L242)</f>
        <v/>
      </c>
      <c r="N38" s="42" t="str">
        <f>+IF($N$5=0,"",'4. '!M242)</f>
        <v/>
      </c>
      <c r="O38" s="42" t="str">
        <f>+IF($O$5=0,"",'4. '!N242)</f>
        <v/>
      </c>
      <c r="P38" s="42" t="str">
        <f>+IF($P$5=0,"",'4. '!O242)</f>
        <v/>
      </c>
      <c r="Q38" s="42" t="str">
        <f>+IF($Q$5=0,"",'4. '!P242)</f>
        <v/>
      </c>
      <c r="R38" s="42" t="str">
        <f>+IF($R$5=0,"",'4. '!Q242)</f>
        <v/>
      </c>
      <c r="S38" s="42" t="str">
        <f>+IF($S$5=0,"",'4. '!R242)</f>
        <v/>
      </c>
      <c r="T38" s="42" t="str">
        <f>+IF($T$5=0,"",'4. '!S242)</f>
        <v/>
      </c>
      <c r="U38" s="42" t="str">
        <f>+IF($U$5=0,"",'4. '!T242)</f>
        <v/>
      </c>
      <c r="V38" s="42" t="str">
        <f>+IF($V$5=0,"",'4. '!U242)</f>
        <v/>
      </c>
      <c r="W38" s="42" t="str">
        <f>+IF($W$5=0,"",'4. '!V242)</f>
        <v/>
      </c>
      <c r="X38" s="42" t="str">
        <f>+IF($X$5=0,"",'4. '!W242)</f>
        <v/>
      </c>
      <c r="Y38" s="42" t="str">
        <f>+IF($Y$5=0,"",'4. '!X242)</f>
        <v/>
      </c>
      <c r="Z38" s="42" t="str">
        <f>+IF($Z$5=0,"",'4. '!Y242)</f>
        <v/>
      </c>
      <c r="AA38" s="42" t="str">
        <f>+IF($AA$5=0,"",'4. '!Z242)</f>
        <v/>
      </c>
      <c r="AB38" s="42" t="str">
        <f>+IF($AB$5=0,"",'4. '!AA242)</f>
        <v/>
      </c>
      <c r="AC38" s="42" t="str">
        <f>+IF($AC$5=0,"",'4. '!AB242)</f>
        <v/>
      </c>
      <c r="AD38" s="42" t="str">
        <f>+IF($AD$5=0,"",'4. '!AC242)</f>
        <v/>
      </c>
      <c r="AE38" s="42" t="str">
        <f>+IF($AE$5=0,"",'4. '!AD242)</f>
        <v/>
      </c>
      <c r="AF38" s="42" t="str">
        <f>+IF($AF$5=0,"",'4. '!AE242)</f>
        <v/>
      </c>
      <c r="AG38" s="49" t="e">
        <f t="shared" si="0"/>
        <v>#DIV/0!</v>
      </c>
      <c r="AH38" s="6"/>
    </row>
    <row r="39" spans="2:34" x14ac:dyDescent="0.25">
      <c r="B39" s="10" t="s">
        <v>305</v>
      </c>
      <c r="C39" s="42" t="str">
        <f>+IF($C$5=0,"",'4. '!B247)</f>
        <v/>
      </c>
      <c r="D39" s="42" t="str">
        <f>+IF($D$5=0,"",'4. '!C247)</f>
        <v/>
      </c>
      <c r="E39" s="42" t="str">
        <f>+IF($E$5=0,"",'4. '!D247)</f>
        <v/>
      </c>
      <c r="F39" s="42" t="str">
        <f>+IF($F$5=0,"",'4. '!E247)</f>
        <v/>
      </c>
      <c r="G39" s="42" t="str">
        <f>+IF($G$5=0,"",'4. '!F247)</f>
        <v/>
      </c>
      <c r="H39" s="42" t="str">
        <f>+IF($H$5=0,"",'4. '!G247)</f>
        <v/>
      </c>
      <c r="I39" s="42" t="str">
        <f>+IF($I$5=0,"",'4. '!H247)</f>
        <v/>
      </c>
      <c r="J39" s="42" t="str">
        <f>+IF($J$5=0,"",'4. '!I247)</f>
        <v/>
      </c>
      <c r="K39" s="42" t="str">
        <f>+IF($K$5=0,"",'4. '!J247)</f>
        <v/>
      </c>
      <c r="L39" s="42" t="str">
        <f>+IF($L$5=0,"",'4. '!K247)</f>
        <v/>
      </c>
      <c r="M39" s="42" t="str">
        <f>+IF($M$5=0,"",'4. '!L247)</f>
        <v/>
      </c>
      <c r="N39" s="42" t="str">
        <f>+IF($N$5=0,"",'4. '!M247)</f>
        <v/>
      </c>
      <c r="O39" s="42" t="str">
        <f>+IF($O$5=0,"",'4. '!N247)</f>
        <v/>
      </c>
      <c r="P39" s="42" t="str">
        <f>+IF($P$5=0,"",'4. '!O247)</f>
        <v/>
      </c>
      <c r="Q39" s="42" t="str">
        <f>+IF($Q$5=0,"",'4. '!P247)</f>
        <v/>
      </c>
      <c r="R39" s="42" t="str">
        <f>+IF($R$5=0,"",'4. '!Q247)</f>
        <v/>
      </c>
      <c r="S39" s="42" t="str">
        <f>+IF($S$5=0,"",'4. '!R247)</f>
        <v/>
      </c>
      <c r="T39" s="42" t="str">
        <f>+IF($T$5=0,"",'4. '!S247)</f>
        <v/>
      </c>
      <c r="U39" s="42" t="str">
        <f>+IF($U$5=0,"",'4. '!T247)</f>
        <v/>
      </c>
      <c r="V39" s="42" t="str">
        <f>+IF($V$5=0,"",'4. '!U247)</f>
        <v/>
      </c>
      <c r="W39" s="42" t="str">
        <f>+IF($W$5=0,"",'4. '!V247)</f>
        <v/>
      </c>
      <c r="X39" s="42" t="str">
        <f>+IF($X$5=0,"",'4. '!W247)</f>
        <v/>
      </c>
      <c r="Y39" s="42" t="str">
        <f>+IF($Y$5=0,"",'4. '!X247)</f>
        <v/>
      </c>
      <c r="Z39" s="42" t="str">
        <f>+IF($Z$5=0,"",'4. '!Y247)</f>
        <v/>
      </c>
      <c r="AA39" s="42" t="str">
        <f>+IF($AA$5=0,"",'4. '!Z247)</f>
        <v/>
      </c>
      <c r="AB39" s="42" t="str">
        <f>+IF($AB$5=0,"",'4. '!AA247)</f>
        <v/>
      </c>
      <c r="AC39" s="42" t="str">
        <f>+IF($AC$5=0,"",'4. '!AB247)</f>
        <v/>
      </c>
      <c r="AD39" s="42" t="str">
        <f>+IF($AD$5=0,"",'4. '!AC247)</f>
        <v/>
      </c>
      <c r="AE39" s="42" t="str">
        <f>+IF($AE$5=0,"",'4. '!AD247)</f>
        <v/>
      </c>
      <c r="AF39" s="42" t="str">
        <f>+IF($AF$5=0,"",'4. '!AE247)</f>
        <v/>
      </c>
      <c r="AG39" s="49" t="e">
        <f t="shared" si="0"/>
        <v>#DIV/0!</v>
      </c>
      <c r="AH39" s="6"/>
    </row>
    <row r="40" spans="2:34" x14ac:dyDescent="0.25">
      <c r="B40" s="10" t="s">
        <v>302</v>
      </c>
      <c r="C40" s="42" t="str">
        <f>+IF($C$5=0,"",'4. '!B244)</f>
        <v/>
      </c>
      <c r="D40" s="42" t="str">
        <f>+IF($D$5=0,"",'4. '!C244)</f>
        <v/>
      </c>
      <c r="E40" s="42" t="str">
        <f>+IF($E$5=0,"",'4. '!D244)</f>
        <v/>
      </c>
      <c r="F40" s="42" t="str">
        <f>+IF($F$5=0,"",'4. '!E244)</f>
        <v/>
      </c>
      <c r="G40" s="42" t="str">
        <f>+IF($G$5=0,"",'4. '!F244)</f>
        <v/>
      </c>
      <c r="H40" s="42" t="str">
        <f>+IF($H$5=0,"",'4. '!G244)</f>
        <v/>
      </c>
      <c r="I40" s="42" t="str">
        <f>+IF($I$5=0,"",'4. '!H244)</f>
        <v/>
      </c>
      <c r="J40" s="42" t="str">
        <f>+IF($J$5=0,"",'4. '!I244)</f>
        <v/>
      </c>
      <c r="K40" s="42" t="str">
        <f>+IF($K$5=0,"",'4. '!J244)</f>
        <v/>
      </c>
      <c r="L40" s="42" t="str">
        <f>+IF($L$5=0,"",'4. '!K244)</f>
        <v/>
      </c>
      <c r="M40" s="42" t="str">
        <f>+IF($M$5=0,"",'4. '!L244)</f>
        <v/>
      </c>
      <c r="N40" s="42" t="str">
        <f>+IF($N$5=0,"",'4. '!M244)</f>
        <v/>
      </c>
      <c r="O40" s="42" t="str">
        <f>+IF($O$5=0,"",'4. '!N244)</f>
        <v/>
      </c>
      <c r="P40" s="42" t="str">
        <f>+IF($P$5=0,"",'4. '!O244)</f>
        <v/>
      </c>
      <c r="Q40" s="42" t="str">
        <f>+IF($Q$5=0,"",'4. '!P244)</f>
        <v/>
      </c>
      <c r="R40" s="42" t="str">
        <f>+IF($R$5=0,"",'4. '!Q244)</f>
        <v/>
      </c>
      <c r="S40" s="42" t="str">
        <f>+IF($S$5=0,"",'4. '!R244)</f>
        <v/>
      </c>
      <c r="T40" s="42" t="str">
        <f>+IF($T$5=0,"",'4. '!S244)</f>
        <v/>
      </c>
      <c r="U40" s="42" t="str">
        <f>+IF($U$5=0,"",'4. '!T244)</f>
        <v/>
      </c>
      <c r="V40" s="42" t="str">
        <f>+IF($V$5=0,"",'4. '!U244)</f>
        <v/>
      </c>
      <c r="W40" s="42" t="str">
        <f>+IF($W$5=0,"",'4. '!V244)</f>
        <v/>
      </c>
      <c r="X40" s="42" t="str">
        <f>+IF($X$5=0,"",'4. '!W244)</f>
        <v/>
      </c>
      <c r="Y40" s="42" t="str">
        <f>+IF($Y$5=0,"",'4. '!X244)</f>
        <v/>
      </c>
      <c r="Z40" s="42" t="str">
        <f>+IF($Z$5=0,"",'4. '!Y244)</f>
        <v/>
      </c>
      <c r="AA40" s="42" t="str">
        <f>+IF($AA$5=0,"",'4. '!Z244)</f>
        <v/>
      </c>
      <c r="AB40" s="42" t="str">
        <f>+IF($AB$5=0,"",'4. '!AA244)</f>
        <v/>
      </c>
      <c r="AC40" s="42" t="str">
        <f>+IF($AC$5=0,"",'4. '!AB244)</f>
        <v/>
      </c>
      <c r="AD40" s="42" t="str">
        <f>+IF($AD$5=0,"",'4. '!AC244)</f>
        <v/>
      </c>
      <c r="AE40" s="42" t="str">
        <f>+IF($AE$5=0,"",'4. '!AD244)</f>
        <v/>
      </c>
      <c r="AF40" s="42" t="str">
        <f>+IF($AF$5=0,"",'4. '!AE244)</f>
        <v/>
      </c>
      <c r="AG40" s="49" t="e">
        <f t="shared" si="0"/>
        <v>#DIV/0!</v>
      </c>
      <c r="AH40" s="6"/>
    </row>
    <row r="41" spans="2:34" x14ac:dyDescent="0.25">
      <c r="B41" s="10" t="s">
        <v>271</v>
      </c>
      <c r="C41" s="42" t="str">
        <f>+IF($C$5=0,"",'4. '!B213)</f>
        <v/>
      </c>
      <c r="D41" s="42" t="str">
        <f>+IF($D$5=0,"",'4. '!C213)</f>
        <v/>
      </c>
      <c r="E41" s="42" t="str">
        <f>+IF($E$5=0,"",'4. '!D213)</f>
        <v/>
      </c>
      <c r="F41" s="42" t="str">
        <f>+IF($F$5=0,"",'4. '!E213)</f>
        <v/>
      </c>
      <c r="G41" s="42" t="str">
        <f>+IF($G$5=0,"",'4. '!F213)</f>
        <v/>
      </c>
      <c r="H41" s="42" t="str">
        <f>+IF($H$5=0,"",'4. '!G213)</f>
        <v/>
      </c>
      <c r="I41" s="42" t="str">
        <f>+IF($I$5=0,"",'4. '!H213)</f>
        <v/>
      </c>
      <c r="J41" s="42" t="str">
        <f>+IF($J$5=0,"",'4. '!I213)</f>
        <v/>
      </c>
      <c r="K41" s="42" t="str">
        <f>+IF($K$5=0,"",'4. '!J213)</f>
        <v/>
      </c>
      <c r="L41" s="42" t="str">
        <f>+IF($L$5=0,"",'4. '!K213)</f>
        <v/>
      </c>
      <c r="M41" s="42" t="str">
        <f>+IF($M$5=0,"",'4. '!L213)</f>
        <v/>
      </c>
      <c r="N41" s="42" t="str">
        <f>+IF($N$5=0,"",'4. '!M213)</f>
        <v/>
      </c>
      <c r="O41" s="42" t="str">
        <f>+IF($O$5=0,"",'4. '!N213)</f>
        <v/>
      </c>
      <c r="P41" s="42" t="str">
        <f>+IF($P$5=0,"",'4. '!O213)</f>
        <v/>
      </c>
      <c r="Q41" s="42" t="str">
        <f>+IF($Q$5=0,"",'4. '!P213)</f>
        <v/>
      </c>
      <c r="R41" s="42" t="str">
        <f>+IF($R$5=0,"",'4. '!Q213)</f>
        <v/>
      </c>
      <c r="S41" s="42" t="str">
        <f>+IF($S$5=0,"",'4. '!R213)</f>
        <v/>
      </c>
      <c r="T41" s="42" t="str">
        <f>+IF($T$5=0,"",'4. '!S213)</f>
        <v/>
      </c>
      <c r="U41" s="42" t="str">
        <f>+IF($U$5=0,"",'4. '!T213)</f>
        <v/>
      </c>
      <c r="V41" s="42" t="str">
        <f>+IF($V$5=0,"",'4. '!U213)</f>
        <v/>
      </c>
      <c r="W41" s="42" t="str">
        <f>+IF($W$5=0,"",'4. '!V213)</f>
        <v/>
      </c>
      <c r="X41" s="42" t="str">
        <f>+IF($X$5=0,"",'4. '!W213)</f>
        <v/>
      </c>
      <c r="Y41" s="42" t="str">
        <f>+IF($Y$5=0,"",'4. '!X213)</f>
        <v/>
      </c>
      <c r="Z41" s="42" t="str">
        <f>+IF($Z$5=0,"",'4. '!Y213)</f>
        <v/>
      </c>
      <c r="AA41" s="42" t="str">
        <f>+IF($AA$5=0,"",'4. '!Z213)</f>
        <v/>
      </c>
      <c r="AB41" s="42" t="str">
        <f>+IF($AB$5=0,"",'4. '!AA213)</f>
        <v/>
      </c>
      <c r="AC41" s="42" t="str">
        <f>+IF($AC$5=0,"",'4. '!AB213)</f>
        <v/>
      </c>
      <c r="AD41" s="42" t="str">
        <f>+IF($AD$5=0,"",'4. '!AC213)</f>
        <v/>
      </c>
      <c r="AE41" s="42" t="str">
        <f>+IF($AE$5=0,"",'4. '!AD213)</f>
        <v/>
      </c>
      <c r="AF41" s="42" t="str">
        <f>+IF($AF$5=0,"",'4. '!AE213)</f>
        <v/>
      </c>
      <c r="AG41" s="49" t="e">
        <f t="shared" si="0"/>
        <v>#DIV/0!</v>
      </c>
      <c r="AH41" s="6"/>
    </row>
    <row r="42" spans="2:34" x14ac:dyDescent="0.25">
      <c r="B42" s="10" t="s">
        <v>261</v>
      </c>
      <c r="C42" s="42" t="str">
        <f>+IF($C$5=0,"",'4. '!B203)</f>
        <v/>
      </c>
      <c r="D42" s="42" t="str">
        <f>+IF($D$5=0,"",'4. '!C203)</f>
        <v/>
      </c>
      <c r="E42" s="42" t="str">
        <f>+IF($E$5=0,"",'4. '!D203)</f>
        <v/>
      </c>
      <c r="F42" s="42" t="str">
        <f>+IF($F$5=0,"",'4. '!E203)</f>
        <v/>
      </c>
      <c r="G42" s="42" t="str">
        <f>+IF($G$5=0,"",'4. '!F203)</f>
        <v/>
      </c>
      <c r="H42" s="42" t="str">
        <f>+IF($H$5=0,"",'4. '!G203)</f>
        <v/>
      </c>
      <c r="I42" s="42" t="str">
        <f>+IF($I$5=0,"",'4. '!H203)</f>
        <v/>
      </c>
      <c r="J42" s="42" t="str">
        <f>+IF($J$5=0,"",'4. '!I203)</f>
        <v/>
      </c>
      <c r="K42" s="42" t="str">
        <f>+IF($K$5=0,"",'4. '!J203)</f>
        <v/>
      </c>
      <c r="L42" s="42" t="str">
        <f>+IF($L$5=0,"",'4. '!K203)</f>
        <v/>
      </c>
      <c r="M42" s="42" t="str">
        <f>+IF($M$5=0,"",'4. '!L203)</f>
        <v/>
      </c>
      <c r="N42" s="42" t="str">
        <f>+IF($N$5=0,"",'4. '!M203)</f>
        <v/>
      </c>
      <c r="O42" s="42" t="str">
        <f>+IF($O$5=0,"",'4. '!N203)</f>
        <v/>
      </c>
      <c r="P42" s="42" t="str">
        <f>+IF($P$5=0,"",'4. '!O203)</f>
        <v/>
      </c>
      <c r="Q42" s="42" t="str">
        <f>+IF($Q$5=0,"",'4. '!P203)</f>
        <v/>
      </c>
      <c r="R42" s="42" t="str">
        <f>+IF($R$5=0,"",'4. '!Q203)</f>
        <v/>
      </c>
      <c r="S42" s="42" t="str">
        <f>+IF($S$5=0,"",'4. '!R203)</f>
        <v/>
      </c>
      <c r="T42" s="42" t="str">
        <f>+IF($T$5=0,"",'4. '!S203)</f>
        <v/>
      </c>
      <c r="U42" s="42" t="str">
        <f>+IF($U$5=0,"",'4. '!T203)</f>
        <v/>
      </c>
      <c r="V42" s="42" t="str">
        <f>+IF($V$5=0,"",'4. '!U203)</f>
        <v/>
      </c>
      <c r="W42" s="42" t="str">
        <f>+IF($W$5=0,"",'4. '!V203)</f>
        <v/>
      </c>
      <c r="X42" s="42" t="str">
        <f>+IF($X$5=0,"",'4. '!W203)</f>
        <v/>
      </c>
      <c r="Y42" s="42" t="str">
        <f>+IF($Y$5=0,"",'4. '!X203)</f>
        <v/>
      </c>
      <c r="Z42" s="42" t="str">
        <f>+IF($Z$5=0,"",'4. '!Y203)</f>
        <v/>
      </c>
      <c r="AA42" s="42" t="str">
        <f>+IF($AA$5=0,"",'4. '!Z203)</f>
        <v/>
      </c>
      <c r="AB42" s="42" t="str">
        <f>+IF($AB$5=0,"",'4. '!AA203)</f>
        <v/>
      </c>
      <c r="AC42" s="42" t="str">
        <f>+IF($AC$5=0,"",'4. '!AB203)</f>
        <v/>
      </c>
      <c r="AD42" s="42" t="str">
        <f>+IF($AD$5=0,"",'4. '!AC203)</f>
        <v/>
      </c>
      <c r="AE42" s="42" t="str">
        <f>+IF($AE$5=0,"",'4. '!AD203)</f>
        <v/>
      </c>
      <c r="AF42" s="42" t="str">
        <f>+IF($AF$5=0,"",'4. '!AE203)</f>
        <v/>
      </c>
      <c r="AG42" s="49" t="e">
        <f t="shared" si="0"/>
        <v>#DIV/0!</v>
      </c>
      <c r="AH42" s="6"/>
    </row>
    <row r="43" spans="2:34" x14ac:dyDescent="0.25">
      <c r="B43" s="10" t="s">
        <v>263</v>
      </c>
      <c r="C43" s="42" t="str">
        <f>+IF($C$5=0,"",'4. '!B205)</f>
        <v/>
      </c>
      <c r="D43" s="42" t="str">
        <f>+IF($D$5=0,"",'4. '!C205)</f>
        <v/>
      </c>
      <c r="E43" s="42" t="str">
        <f>+IF($E$5=0,"",'4. '!D205)</f>
        <v/>
      </c>
      <c r="F43" s="42" t="str">
        <f>+IF($F$5=0,"",'4. '!E205)</f>
        <v/>
      </c>
      <c r="G43" s="42" t="str">
        <f>+IF($G$5=0,"",'4. '!F205)</f>
        <v/>
      </c>
      <c r="H43" s="42" t="str">
        <f>+IF($H$5=0,"",'4. '!G205)</f>
        <v/>
      </c>
      <c r="I43" s="42" t="str">
        <f>+IF($I$5=0,"",'4. '!H205)</f>
        <v/>
      </c>
      <c r="J43" s="42" t="str">
        <f>+IF($J$5=0,"",'4. '!I205)</f>
        <v/>
      </c>
      <c r="K43" s="42" t="str">
        <f>+IF($K$5=0,"",'4. '!J205)</f>
        <v/>
      </c>
      <c r="L43" s="42" t="str">
        <f>+IF($L$5=0,"",'4. '!K205)</f>
        <v/>
      </c>
      <c r="M43" s="42" t="str">
        <f>+IF($M$5=0,"",'4. '!L205)</f>
        <v/>
      </c>
      <c r="N43" s="42" t="str">
        <f>+IF($N$5=0,"",'4. '!M205)</f>
        <v/>
      </c>
      <c r="O43" s="42" t="str">
        <f>+IF($O$5=0,"",'4. '!N205)</f>
        <v/>
      </c>
      <c r="P43" s="42" t="str">
        <f>+IF($P$5=0,"",'4. '!O205)</f>
        <v/>
      </c>
      <c r="Q43" s="42" t="str">
        <f>+IF($Q$5=0,"",'4. '!P205)</f>
        <v/>
      </c>
      <c r="R43" s="42" t="str">
        <f>+IF($R$5=0,"",'4. '!Q205)</f>
        <v/>
      </c>
      <c r="S43" s="42" t="str">
        <f>+IF($S$5=0,"",'4. '!R205)</f>
        <v/>
      </c>
      <c r="T43" s="42" t="str">
        <f>+IF($T$5=0,"",'4. '!S205)</f>
        <v/>
      </c>
      <c r="U43" s="42" t="str">
        <f>+IF($U$5=0,"",'4. '!T205)</f>
        <v/>
      </c>
      <c r="V43" s="42" t="str">
        <f>+IF($V$5=0,"",'4. '!U205)</f>
        <v/>
      </c>
      <c r="W43" s="42" t="str">
        <f>+IF($W$5=0,"",'4. '!V205)</f>
        <v/>
      </c>
      <c r="X43" s="42" t="str">
        <f>+IF($X$5=0,"",'4. '!W205)</f>
        <v/>
      </c>
      <c r="Y43" s="42" t="str">
        <f>+IF($Y$5=0,"",'4. '!X205)</f>
        <v/>
      </c>
      <c r="Z43" s="42" t="str">
        <f>+IF($Z$5=0,"",'4. '!Y205)</f>
        <v/>
      </c>
      <c r="AA43" s="42" t="str">
        <f>+IF($AA$5=0,"",'4. '!Z205)</f>
        <v/>
      </c>
      <c r="AB43" s="42" t="str">
        <f>+IF($AB$5=0,"",'4. '!AA205)</f>
        <v/>
      </c>
      <c r="AC43" s="42" t="str">
        <f>+IF($AC$5=0,"",'4. '!AB205)</f>
        <v/>
      </c>
      <c r="AD43" s="42" t="str">
        <f>+IF($AD$5=0,"",'4. '!AC205)</f>
        <v/>
      </c>
      <c r="AE43" s="42" t="str">
        <f>+IF($AE$5=0,"",'4. '!AD205)</f>
        <v/>
      </c>
      <c r="AF43" s="42" t="str">
        <f>+IF($AF$5=0,"",'4. '!AE205)</f>
        <v/>
      </c>
      <c r="AG43" s="49" t="e">
        <f t="shared" si="0"/>
        <v>#DIV/0!</v>
      </c>
      <c r="AH43" s="6"/>
    </row>
    <row r="44" spans="2:34" x14ac:dyDescent="0.25">
      <c r="B44" s="10" t="s">
        <v>268</v>
      </c>
      <c r="C44" s="42" t="str">
        <f>+IF($C$5=0,"",'4. '!B210)</f>
        <v/>
      </c>
      <c r="D44" s="42" t="str">
        <f>+IF($D$5=0,"",'4. '!C210)</f>
        <v/>
      </c>
      <c r="E44" s="42" t="str">
        <f>+IF($E$5=0,"",'4. '!D210)</f>
        <v/>
      </c>
      <c r="F44" s="42" t="str">
        <f>+IF($F$5=0,"",'4. '!E210)</f>
        <v/>
      </c>
      <c r="G44" s="42" t="str">
        <f>+IF($G$5=0,"",'4. '!F210)</f>
        <v/>
      </c>
      <c r="H44" s="42" t="str">
        <f>+IF($H$5=0,"",'4. '!G210)</f>
        <v/>
      </c>
      <c r="I44" s="42" t="str">
        <f>+IF($I$5=0,"",'4. '!H210)</f>
        <v/>
      </c>
      <c r="J44" s="42" t="str">
        <f>+IF($J$5=0,"",'4. '!I210)</f>
        <v/>
      </c>
      <c r="K44" s="42" t="str">
        <f>+IF($K$5=0,"",'4. '!J210)</f>
        <v/>
      </c>
      <c r="L44" s="42" t="str">
        <f>+IF($L$5=0,"",'4. '!K210)</f>
        <v/>
      </c>
      <c r="M44" s="42" t="str">
        <f>+IF($M$5=0,"",'4. '!L210)</f>
        <v/>
      </c>
      <c r="N44" s="42" t="str">
        <f>+IF($N$5=0,"",'4. '!M210)</f>
        <v/>
      </c>
      <c r="O44" s="42" t="str">
        <f>+IF($O$5=0,"",'4. '!N210)</f>
        <v/>
      </c>
      <c r="P44" s="42" t="str">
        <f>+IF($P$5=0,"",'4. '!O210)</f>
        <v/>
      </c>
      <c r="Q44" s="42" t="str">
        <f>+IF($Q$5=0,"",'4. '!P210)</f>
        <v/>
      </c>
      <c r="R44" s="42" t="str">
        <f>+IF($R$5=0,"",'4. '!Q210)</f>
        <v/>
      </c>
      <c r="S44" s="42" t="str">
        <f>+IF($S$5=0,"",'4. '!R210)</f>
        <v/>
      </c>
      <c r="T44" s="42" t="str">
        <f>+IF($T$5=0,"",'4. '!S210)</f>
        <v/>
      </c>
      <c r="U44" s="42" t="str">
        <f>+IF($U$5=0,"",'4. '!T210)</f>
        <v/>
      </c>
      <c r="V44" s="42" t="str">
        <f>+IF($V$5=0,"",'4. '!U210)</f>
        <v/>
      </c>
      <c r="W44" s="42" t="str">
        <f>+IF($W$5=0,"",'4. '!V210)</f>
        <v/>
      </c>
      <c r="X44" s="42" t="str">
        <f>+IF($X$5=0,"",'4. '!W210)</f>
        <v/>
      </c>
      <c r="Y44" s="42" t="str">
        <f>+IF($Y$5=0,"",'4. '!X210)</f>
        <v/>
      </c>
      <c r="Z44" s="42" t="str">
        <f>+IF($Z$5=0,"",'4. '!Y210)</f>
        <v/>
      </c>
      <c r="AA44" s="42" t="str">
        <f>+IF($AA$5=0,"",'4. '!Z210)</f>
        <v/>
      </c>
      <c r="AB44" s="42" t="str">
        <f>+IF($AB$5=0,"",'4. '!AA210)</f>
        <v/>
      </c>
      <c r="AC44" s="42" t="str">
        <f>+IF($AC$5=0,"",'4. '!AB210)</f>
        <v/>
      </c>
      <c r="AD44" s="42" t="str">
        <f>+IF($AD$5=0,"",'4. '!AC210)</f>
        <v/>
      </c>
      <c r="AE44" s="42" t="str">
        <f>+IF($AE$5=0,"",'4. '!AD210)</f>
        <v/>
      </c>
      <c r="AF44" s="42" t="str">
        <f>+IF($AF$5=0,"",'4. '!AE210)</f>
        <v/>
      </c>
      <c r="AG44" s="49" t="e">
        <f t="shared" si="0"/>
        <v>#DIV/0!</v>
      </c>
      <c r="AH44" s="6"/>
    </row>
    <row r="45" spans="2:34" x14ac:dyDescent="0.25">
      <c r="B45" s="10" t="s">
        <v>265</v>
      </c>
      <c r="C45" s="42" t="str">
        <f>+IF($C$5=0,"",'4. '!B207)</f>
        <v/>
      </c>
      <c r="D45" s="42" t="str">
        <f>+IF($D$5=0,"",'4. '!C207)</f>
        <v/>
      </c>
      <c r="E45" s="42" t="str">
        <f>+IF($E$5=0,"",'4. '!D207)</f>
        <v/>
      </c>
      <c r="F45" s="42" t="str">
        <f>+IF($F$5=0,"",'4. '!E207)</f>
        <v/>
      </c>
      <c r="G45" s="42" t="str">
        <f>+IF($G$5=0,"",'4. '!F207)</f>
        <v/>
      </c>
      <c r="H45" s="42" t="str">
        <f>+IF($H$5=0,"",'4. '!G207)</f>
        <v/>
      </c>
      <c r="I45" s="42" t="str">
        <f>+IF($I$5=0,"",'4. '!H207)</f>
        <v/>
      </c>
      <c r="J45" s="42" t="str">
        <f>+IF($J$5=0,"",'4. '!I207)</f>
        <v/>
      </c>
      <c r="K45" s="42" t="str">
        <f>+IF($K$5=0,"",'4. '!J207)</f>
        <v/>
      </c>
      <c r="L45" s="42" t="str">
        <f>+IF($L$5=0,"",'4. '!K207)</f>
        <v/>
      </c>
      <c r="M45" s="42" t="str">
        <f>+IF($M$5=0,"",'4. '!L207)</f>
        <v/>
      </c>
      <c r="N45" s="42" t="str">
        <f>+IF($N$5=0,"",'4. '!M207)</f>
        <v/>
      </c>
      <c r="O45" s="42" t="str">
        <f>+IF($O$5=0,"",'4. '!N207)</f>
        <v/>
      </c>
      <c r="P45" s="42" t="str">
        <f>+IF($P$5=0,"",'4. '!O207)</f>
        <v/>
      </c>
      <c r="Q45" s="42" t="str">
        <f>+IF($Q$5=0,"",'4. '!P207)</f>
        <v/>
      </c>
      <c r="R45" s="42" t="str">
        <f>+IF($R$5=0,"",'4. '!Q207)</f>
        <v/>
      </c>
      <c r="S45" s="42" t="str">
        <f>+IF($S$5=0,"",'4. '!R207)</f>
        <v/>
      </c>
      <c r="T45" s="42" t="str">
        <f>+IF($T$5=0,"",'4. '!S207)</f>
        <v/>
      </c>
      <c r="U45" s="42" t="str">
        <f>+IF($U$5=0,"",'4. '!T207)</f>
        <v/>
      </c>
      <c r="V45" s="42" t="str">
        <f>+IF($V$5=0,"",'4. '!U207)</f>
        <v/>
      </c>
      <c r="W45" s="42" t="str">
        <f>+IF($W$5=0,"",'4. '!V207)</f>
        <v/>
      </c>
      <c r="X45" s="42" t="str">
        <f>+IF($X$5=0,"",'4. '!W207)</f>
        <v/>
      </c>
      <c r="Y45" s="42" t="str">
        <f>+IF($Y$5=0,"",'4. '!X207)</f>
        <v/>
      </c>
      <c r="Z45" s="42" t="str">
        <f>+IF($Z$5=0,"",'4. '!Y207)</f>
        <v/>
      </c>
      <c r="AA45" s="42" t="str">
        <f>+IF($AA$5=0,"",'4. '!Z207)</f>
        <v/>
      </c>
      <c r="AB45" s="42" t="str">
        <f>+IF($AB$5=0,"",'4. '!AA207)</f>
        <v/>
      </c>
      <c r="AC45" s="42" t="str">
        <f>+IF($AC$5=0,"",'4. '!AB207)</f>
        <v/>
      </c>
      <c r="AD45" s="42" t="str">
        <f>+IF($AD$5=0,"",'4. '!AC207)</f>
        <v/>
      </c>
      <c r="AE45" s="42" t="str">
        <f>+IF($AE$5=0,"",'4. '!AD207)</f>
        <v/>
      </c>
      <c r="AF45" s="42" t="str">
        <f>+IF($AF$5=0,"",'4. '!AE207)</f>
        <v/>
      </c>
      <c r="AG45" s="49" t="e">
        <f t="shared" si="0"/>
        <v>#DIV/0!</v>
      </c>
      <c r="AH45" s="6"/>
    </row>
    <row r="46" spans="2:34" x14ac:dyDescent="0.25">
      <c r="B46" s="10" t="s">
        <v>244</v>
      </c>
      <c r="C46" s="42" t="str">
        <f>+IF($C$5=0,"",'4. '!B186)</f>
        <v/>
      </c>
      <c r="D46" s="42" t="str">
        <f>+IF($D$5=0,"",'4. '!C186)</f>
        <v/>
      </c>
      <c r="E46" s="42" t="str">
        <f>+IF($E$5=0,"",'4. '!D186)</f>
        <v/>
      </c>
      <c r="F46" s="42" t="str">
        <f>+IF($F$5=0,"",'4. '!E186)</f>
        <v/>
      </c>
      <c r="G46" s="42" t="str">
        <f>+IF($G$5=0,"",'4. '!F186)</f>
        <v/>
      </c>
      <c r="H46" s="42" t="str">
        <f>+IF($H$5=0,"",'4. '!G186)</f>
        <v/>
      </c>
      <c r="I46" s="42" t="str">
        <f>+IF($I$5=0,"",'4. '!H186)</f>
        <v/>
      </c>
      <c r="J46" s="42" t="str">
        <f>+IF($J$5=0,"",'4. '!I186)</f>
        <v/>
      </c>
      <c r="K46" s="42" t="str">
        <f>+IF($K$5=0,"",'4. '!J186)</f>
        <v/>
      </c>
      <c r="L46" s="42" t="str">
        <f>+IF($L$5=0,"",'4. '!K186)</f>
        <v/>
      </c>
      <c r="M46" s="42" t="str">
        <f>+IF($M$5=0,"",'4. '!L186)</f>
        <v/>
      </c>
      <c r="N46" s="42" t="str">
        <f>+IF($N$5=0,"",'4. '!M186)</f>
        <v/>
      </c>
      <c r="O46" s="42" t="str">
        <f>+IF($O$5=0,"",'4. '!N186)</f>
        <v/>
      </c>
      <c r="P46" s="42" t="str">
        <f>+IF($P$5=0,"",'4. '!O186)</f>
        <v/>
      </c>
      <c r="Q46" s="42" t="str">
        <f>+IF($Q$5=0,"",'4. '!P186)</f>
        <v/>
      </c>
      <c r="R46" s="42" t="str">
        <f>+IF($R$5=0,"",'4. '!Q186)</f>
        <v/>
      </c>
      <c r="S46" s="42" t="str">
        <f>+IF($S$5=0,"",'4. '!R186)</f>
        <v/>
      </c>
      <c r="T46" s="42" t="str">
        <f>+IF($T$5=0,"",'4. '!S186)</f>
        <v/>
      </c>
      <c r="U46" s="42" t="str">
        <f>+IF($U$5=0,"",'4. '!T186)</f>
        <v/>
      </c>
      <c r="V46" s="42" t="str">
        <f>+IF($V$5=0,"",'4. '!U186)</f>
        <v/>
      </c>
      <c r="W46" s="42" t="str">
        <f>+IF($W$5=0,"",'4. '!V186)</f>
        <v/>
      </c>
      <c r="X46" s="42" t="str">
        <f>+IF($X$5=0,"",'4. '!W186)</f>
        <v/>
      </c>
      <c r="Y46" s="42" t="str">
        <f>+IF($Y$5=0,"",'4. '!X186)</f>
        <v/>
      </c>
      <c r="Z46" s="42" t="str">
        <f>+IF($Z$5=0,"",'4. '!Y186)</f>
        <v/>
      </c>
      <c r="AA46" s="42" t="str">
        <f>+IF($AA$5=0,"",'4. '!Z186)</f>
        <v/>
      </c>
      <c r="AB46" s="42" t="str">
        <f>+IF($AB$5=0,"",'4. '!AA186)</f>
        <v/>
      </c>
      <c r="AC46" s="42" t="str">
        <f>+IF($AC$5=0,"",'4. '!AB186)</f>
        <v/>
      </c>
      <c r="AD46" s="42" t="str">
        <f>+IF($AD$5=0,"",'4. '!AC186)</f>
        <v/>
      </c>
      <c r="AE46" s="42" t="str">
        <f>+IF($AE$5=0,"",'4. '!AD186)</f>
        <v/>
      </c>
      <c r="AF46" s="42" t="str">
        <f>+IF($AF$5=0,"",'4. '!AE186)</f>
        <v/>
      </c>
      <c r="AG46" s="49" t="e">
        <f t="shared" si="0"/>
        <v>#DIV/0!</v>
      </c>
      <c r="AH46" s="6"/>
    </row>
    <row r="47" spans="2:34" x14ac:dyDescent="0.25">
      <c r="B47" s="10" t="s">
        <v>252</v>
      </c>
      <c r="C47" s="42" t="str">
        <f>+IF($C$5=0,"",'4. '!B194)</f>
        <v/>
      </c>
      <c r="D47" s="42" t="str">
        <f>+IF($D$5=0,"",'4. '!C194)</f>
        <v/>
      </c>
      <c r="E47" s="42" t="str">
        <f>+IF($E$5=0,"",'4. '!D194)</f>
        <v/>
      </c>
      <c r="F47" s="42" t="str">
        <f>+IF($F$5=0,"",'4. '!E194)</f>
        <v/>
      </c>
      <c r="G47" s="42" t="str">
        <f>+IF($G$5=0,"",'4. '!F194)</f>
        <v/>
      </c>
      <c r="H47" s="42" t="str">
        <f>+IF($H$5=0,"",'4. '!G194)</f>
        <v/>
      </c>
      <c r="I47" s="42" t="str">
        <f>+IF($I$5=0,"",'4. '!H194)</f>
        <v/>
      </c>
      <c r="J47" s="42" t="str">
        <f>+IF($J$5=0,"",'4. '!I194)</f>
        <v/>
      </c>
      <c r="K47" s="42" t="str">
        <f>+IF($K$5=0,"",'4. '!J194)</f>
        <v/>
      </c>
      <c r="L47" s="42" t="str">
        <f>+IF($L$5=0,"",'4. '!K194)</f>
        <v/>
      </c>
      <c r="M47" s="42" t="str">
        <f>+IF($M$5=0,"",'4. '!L194)</f>
        <v/>
      </c>
      <c r="N47" s="42" t="str">
        <f>+IF($N$5=0,"",'4. '!M194)</f>
        <v/>
      </c>
      <c r="O47" s="42" t="str">
        <f>+IF($O$5=0,"",'4. '!N194)</f>
        <v/>
      </c>
      <c r="P47" s="42" t="str">
        <f>+IF($P$5=0,"",'4. '!O194)</f>
        <v/>
      </c>
      <c r="Q47" s="42" t="str">
        <f>+IF($Q$5=0,"",'4. '!P194)</f>
        <v/>
      </c>
      <c r="R47" s="42" t="str">
        <f>+IF($R$5=0,"",'4. '!Q194)</f>
        <v/>
      </c>
      <c r="S47" s="42" t="str">
        <f>+IF($S$5=0,"",'4. '!R194)</f>
        <v/>
      </c>
      <c r="T47" s="42" t="str">
        <f>+IF($T$5=0,"",'4. '!S194)</f>
        <v/>
      </c>
      <c r="U47" s="42" t="str">
        <f>+IF($U$5=0,"",'4. '!T194)</f>
        <v/>
      </c>
      <c r="V47" s="42" t="str">
        <f>+IF($V$5=0,"",'4. '!U194)</f>
        <v/>
      </c>
      <c r="W47" s="42" t="str">
        <f>+IF($W$5=0,"",'4. '!V194)</f>
        <v/>
      </c>
      <c r="X47" s="42" t="str">
        <f>+IF($X$5=0,"",'4. '!W194)</f>
        <v/>
      </c>
      <c r="Y47" s="42" t="str">
        <f>+IF($Y$5=0,"",'4. '!X194)</f>
        <v/>
      </c>
      <c r="Z47" s="42" t="str">
        <f>+IF($Z$5=0,"",'4. '!Y194)</f>
        <v/>
      </c>
      <c r="AA47" s="42" t="str">
        <f>+IF($AA$5=0,"",'4. '!Z194)</f>
        <v/>
      </c>
      <c r="AB47" s="42" t="str">
        <f>+IF($AB$5=0,"",'4. '!AA194)</f>
        <v/>
      </c>
      <c r="AC47" s="42" t="str">
        <f>+IF($AC$5=0,"",'4. '!AB194)</f>
        <v/>
      </c>
      <c r="AD47" s="42" t="str">
        <f>+IF($AD$5=0,"",'4. '!AC194)</f>
        <v/>
      </c>
      <c r="AE47" s="42" t="str">
        <f>+IF($AE$5=0,"",'4. '!AD194)</f>
        <v/>
      </c>
      <c r="AF47" s="42" t="str">
        <f>+IF($AF$5=0,"",'4. '!AE194)</f>
        <v/>
      </c>
      <c r="AG47" s="49" t="e">
        <f t="shared" si="0"/>
        <v>#DIV/0!</v>
      </c>
      <c r="AH47" s="6"/>
    </row>
    <row r="48" spans="2:34" x14ac:dyDescent="0.25">
      <c r="B48" s="10" t="s">
        <v>254</v>
      </c>
      <c r="C48" s="42" t="str">
        <f>+IF($C$5=0,"",'4. '!B196)</f>
        <v/>
      </c>
      <c r="D48" s="42" t="str">
        <f>+IF($D$5=0,"",'4. '!C196)</f>
        <v/>
      </c>
      <c r="E48" s="42" t="str">
        <f>+IF($E$5=0,"",'4. '!D196)</f>
        <v/>
      </c>
      <c r="F48" s="42" t="str">
        <f>+IF($F$5=0,"",'4. '!E196)</f>
        <v/>
      </c>
      <c r="G48" s="42" t="str">
        <f>+IF($G$5=0,"",'4. '!F196)</f>
        <v/>
      </c>
      <c r="H48" s="42" t="str">
        <f>+IF($H$5=0,"",'4. '!G196)</f>
        <v/>
      </c>
      <c r="I48" s="42" t="str">
        <f>+IF($I$5=0,"",'4. '!H196)</f>
        <v/>
      </c>
      <c r="J48" s="42" t="str">
        <f>+IF($J$5=0,"",'4. '!I196)</f>
        <v/>
      </c>
      <c r="K48" s="42" t="str">
        <f>+IF($K$5=0,"",'4. '!J196)</f>
        <v/>
      </c>
      <c r="L48" s="42" t="str">
        <f>+IF($L$5=0,"",'4. '!K196)</f>
        <v/>
      </c>
      <c r="M48" s="42" t="str">
        <f>+IF($M$5=0,"",'4. '!L196)</f>
        <v/>
      </c>
      <c r="N48" s="42" t="str">
        <f>+IF($N$5=0,"",'4. '!M196)</f>
        <v/>
      </c>
      <c r="O48" s="42" t="str">
        <f>+IF($O$5=0,"",'4. '!N196)</f>
        <v/>
      </c>
      <c r="P48" s="42" t="str">
        <f>+IF($P$5=0,"",'4. '!O196)</f>
        <v/>
      </c>
      <c r="Q48" s="42" t="str">
        <f>+IF($Q$5=0,"",'4. '!P196)</f>
        <v/>
      </c>
      <c r="R48" s="42" t="str">
        <f>+IF($R$5=0,"",'4. '!Q196)</f>
        <v/>
      </c>
      <c r="S48" s="42" t="str">
        <f>+IF($S$5=0,"",'4. '!R196)</f>
        <v/>
      </c>
      <c r="T48" s="42" t="str">
        <f>+IF($T$5=0,"",'4. '!S196)</f>
        <v/>
      </c>
      <c r="U48" s="42" t="str">
        <f>+IF($U$5=0,"",'4. '!T196)</f>
        <v/>
      </c>
      <c r="V48" s="42" t="str">
        <f>+IF($V$5=0,"",'4. '!U196)</f>
        <v/>
      </c>
      <c r="W48" s="42" t="str">
        <f>+IF($W$5=0,"",'4. '!V196)</f>
        <v/>
      </c>
      <c r="X48" s="42" t="str">
        <f>+IF($X$5=0,"",'4. '!W196)</f>
        <v/>
      </c>
      <c r="Y48" s="42" t="str">
        <f>+IF($Y$5=0,"",'4. '!X196)</f>
        <v/>
      </c>
      <c r="Z48" s="42" t="str">
        <f>+IF($Z$5=0,"",'4. '!Y196)</f>
        <v/>
      </c>
      <c r="AA48" s="42" t="str">
        <f>+IF($AA$5=0,"",'4. '!Z196)</f>
        <v/>
      </c>
      <c r="AB48" s="42" t="str">
        <f>+IF($AB$5=0,"",'4. '!AA196)</f>
        <v/>
      </c>
      <c r="AC48" s="42" t="str">
        <f>+IF($AC$5=0,"",'4. '!AB196)</f>
        <v/>
      </c>
      <c r="AD48" s="42" t="str">
        <f>+IF($AD$5=0,"",'4. '!AC196)</f>
        <v/>
      </c>
      <c r="AE48" s="42" t="str">
        <f>+IF($AE$5=0,"",'4. '!AD196)</f>
        <v/>
      </c>
      <c r="AF48" s="42" t="str">
        <f>+IF($AF$5=0,"",'4. '!AE196)</f>
        <v/>
      </c>
      <c r="AG48" s="49" t="e">
        <f t="shared" si="0"/>
        <v>#DIV/0!</v>
      </c>
      <c r="AH48" s="6"/>
    </row>
    <row r="49" spans="2:34" x14ac:dyDescent="0.25">
      <c r="B49" s="10" t="s">
        <v>259</v>
      </c>
      <c r="C49" s="42" t="str">
        <f>+IF($C$5=0,"",'4. '!B201)</f>
        <v/>
      </c>
      <c r="D49" s="42" t="str">
        <f>+IF($D$5=0,"",'4. '!C201)</f>
        <v/>
      </c>
      <c r="E49" s="42" t="str">
        <f>+IF($E$5=0,"",'4. '!D201)</f>
        <v/>
      </c>
      <c r="F49" s="42" t="str">
        <f>+IF($F$5=0,"",'4. '!E201)</f>
        <v/>
      </c>
      <c r="G49" s="42" t="str">
        <f>+IF($G$5=0,"",'4. '!F201)</f>
        <v/>
      </c>
      <c r="H49" s="42" t="str">
        <f>+IF($H$5=0,"",'4. '!G201)</f>
        <v/>
      </c>
      <c r="I49" s="42" t="str">
        <f>+IF($I$5=0,"",'4. '!H201)</f>
        <v/>
      </c>
      <c r="J49" s="42" t="str">
        <f>+IF($J$5=0,"",'4. '!I201)</f>
        <v/>
      </c>
      <c r="K49" s="42" t="str">
        <f>+IF($K$5=0,"",'4. '!J201)</f>
        <v/>
      </c>
      <c r="L49" s="42" t="str">
        <f>+IF($L$5=0,"",'4. '!K201)</f>
        <v/>
      </c>
      <c r="M49" s="42" t="str">
        <f>+IF($M$5=0,"",'4. '!L201)</f>
        <v/>
      </c>
      <c r="N49" s="42" t="str">
        <f>+IF($N$5=0,"",'4. '!M201)</f>
        <v/>
      </c>
      <c r="O49" s="42" t="str">
        <f>+IF($O$5=0,"",'4. '!N201)</f>
        <v/>
      </c>
      <c r="P49" s="42" t="str">
        <f>+IF($P$5=0,"",'4. '!O201)</f>
        <v/>
      </c>
      <c r="Q49" s="42" t="str">
        <f>+IF($Q$5=0,"",'4. '!P201)</f>
        <v/>
      </c>
      <c r="R49" s="42" t="str">
        <f>+IF($R$5=0,"",'4. '!Q201)</f>
        <v/>
      </c>
      <c r="S49" s="42" t="str">
        <f>+IF($S$5=0,"",'4. '!R201)</f>
        <v/>
      </c>
      <c r="T49" s="42" t="str">
        <f>+IF($T$5=0,"",'4. '!S201)</f>
        <v/>
      </c>
      <c r="U49" s="42" t="str">
        <f>+IF($U$5=0,"",'4. '!T201)</f>
        <v/>
      </c>
      <c r="V49" s="42" t="str">
        <f>+IF($V$5=0,"",'4. '!U201)</f>
        <v/>
      </c>
      <c r="W49" s="42" t="str">
        <f>+IF($W$5=0,"",'4. '!V201)</f>
        <v/>
      </c>
      <c r="X49" s="42" t="str">
        <f>+IF($X$5=0,"",'4. '!W201)</f>
        <v/>
      </c>
      <c r="Y49" s="42" t="str">
        <f>+IF($Y$5=0,"",'4. '!X201)</f>
        <v/>
      </c>
      <c r="Z49" s="42" t="str">
        <f>+IF($Z$5=0,"",'4. '!Y201)</f>
        <v/>
      </c>
      <c r="AA49" s="42" t="str">
        <f>+IF($AA$5=0,"",'4. '!Z201)</f>
        <v/>
      </c>
      <c r="AB49" s="42" t="str">
        <f>+IF($AB$5=0,"",'4. '!AA201)</f>
        <v/>
      </c>
      <c r="AC49" s="42" t="str">
        <f>+IF($AC$5=0,"",'4. '!AB201)</f>
        <v/>
      </c>
      <c r="AD49" s="42" t="str">
        <f>+IF($AD$5=0,"",'4. '!AC201)</f>
        <v/>
      </c>
      <c r="AE49" s="42" t="str">
        <f>+IF($AE$5=0,"",'4. '!AD201)</f>
        <v/>
      </c>
      <c r="AF49" s="42" t="str">
        <f>+IF($AF$5=0,"",'4. '!AE201)</f>
        <v/>
      </c>
      <c r="AG49" s="49" t="e">
        <f t="shared" si="0"/>
        <v>#DIV/0!</v>
      </c>
      <c r="AH49" s="6"/>
    </row>
    <row r="50" spans="2:34" x14ac:dyDescent="0.25">
      <c r="B50" s="10" t="s">
        <v>256</v>
      </c>
      <c r="C50" s="42" t="str">
        <f>+IF($C$5=0,"",'4. '!B198)</f>
        <v/>
      </c>
      <c r="D50" s="42" t="str">
        <f>+IF($D$5=0,"",'4. '!C198)</f>
        <v/>
      </c>
      <c r="E50" s="42" t="str">
        <f>+IF($E$5=0,"",'4. '!D198)</f>
        <v/>
      </c>
      <c r="F50" s="42" t="str">
        <f>+IF($F$5=0,"",'4. '!E198)</f>
        <v/>
      </c>
      <c r="G50" s="42" t="str">
        <f>+IF($G$5=0,"",'4. '!F198)</f>
        <v/>
      </c>
      <c r="H50" s="42" t="str">
        <f>+IF($H$5=0,"",'4. '!G198)</f>
        <v/>
      </c>
      <c r="I50" s="42" t="str">
        <f>+IF($I$5=0,"",'4. '!H198)</f>
        <v/>
      </c>
      <c r="J50" s="42" t="str">
        <f>+IF($J$5=0,"",'4. '!I198)</f>
        <v/>
      </c>
      <c r="K50" s="42" t="str">
        <f>+IF($K$5=0,"",'4. '!J198)</f>
        <v/>
      </c>
      <c r="L50" s="42" t="str">
        <f>+IF($L$5=0,"",'4. '!K198)</f>
        <v/>
      </c>
      <c r="M50" s="42" t="str">
        <f>+IF($M$5=0,"",'4. '!L198)</f>
        <v/>
      </c>
      <c r="N50" s="42" t="str">
        <f>+IF($N$5=0,"",'4. '!M198)</f>
        <v/>
      </c>
      <c r="O50" s="42" t="str">
        <f>+IF($O$5=0,"",'4. '!N198)</f>
        <v/>
      </c>
      <c r="P50" s="42" t="str">
        <f>+IF($P$5=0,"",'4. '!O198)</f>
        <v/>
      </c>
      <c r="Q50" s="42" t="str">
        <f>+IF($Q$5=0,"",'4. '!P198)</f>
        <v/>
      </c>
      <c r="R50" s="42" t="str">
        <f>+IF($R$5=0,"",'4. '!Q198)</f>
        <v/>
      </c>
      <c r="S50" s="42" t="str">
        <f>+IF($S$5=0,"",'4. '!R198)</f>
        <v/>
      </c>
      <c r="T50" s="42" t="str">
        <f>+IF($T$5=0,"",'4. '!S198)</f>
        <v/>
      </c>
      <c r="U50" s="42" t="str">
        <f>+IF($U$5=0,"",'4. '!T198)</f>
        <v/>
      </c>
      <c r="V50" s="42" t="str">
        <f>+IF($V$5=0,"",'4. '!U198)</f>
        <v/>
      </c>
      <c r="W50" s="42" t="str">
        <f>+IF($W$5=0,"",'4. '!V198)</f>
        <v/>
      </c>
      <c r="X50" s="42" t="str">
        <f>+IF($X$5=0,"",'4. '!W198)</f>
        <v/>
      </c>
      <c r="Y50" s="42" t="str">
        <f>+IF($Y$5=0,"",'4. '!X198)</f>
        <v/>
      </c>
      <c r="Z50" s="42" t="str">
        <f>+IF($Z$5=0,"",'4. '!Y198)</f>
        <v/>
      </c>
      <c r="AA50" s="42" t="str">
        <f>+IF($AA$5=0,"",'4. '!Z198)</f>
        <v/>
      </c>
      <c r="AB50" s="42" t="str">
        <f>+IF($AB$5=0,"",'4. '!AA198)</f>
        <v/>
      </c>
      <c r="AC50" s="42" t="str">
        <f>+IF($AC$5=0,"",'4. '!AB198)</f>
        <v/>
      </c>
      <c r="AD50" s="42" t="str">
        <f>+IF($AD$5=0,"",'4. '!AC198)</f>
        <v/>
      </c>
      <c r="AE50" s="42" t="str">
        <f>+IF($AE$5=0,"",'4. '!AD198)</f>
        <v/>
      </c>
      <c r="AF50" s="42" t="str">
        <f>+IF($AF$5=0,"",'4. '!AE198)</f>
        <v/>
      </c>
      <c r="AG50" s="49" t="e">
        <f t="shared" si="0"/>
        <v>#DIV/0!</v>
      </c>
      <c r="AH50" s="6"/>
    </row>
    <row r="51" spans="2:34" x14ac:dyDescent="0.25">
      <c r="B51" s="10" t="s">
        <v>234</v>
      </c>
      <c r="C51" s="42" t="str">
        <f>+IF($C$5=0,"",'4. '!B176)</f>
        <v/>
      </c>
      <c r="D51" s="42" t="str">
        <f>+IF($D$5=0,"",'4. '!C176)</f>
        <v/>
      </c>
      <c r="E51" s="42" t="str">
        <f>+IF($E$5=0,"",'4. '!D176)</f>
        <v/>
      </c>
      <c r="F51" s="42" t="str">
        <f>+IF($F$5=0,"",'4. '!E176)</f>
        <v/>
      </c>
      <c r="G51" s="42" t="str">
        <f>+IF($G$5=0,"",'4. '!F176)</f>
        <v/>
      </c>
      <c r="H51" s="42" t="str">
        <f>+IF($H$5=0,"",'4. '!G176)</f>
        <v/>
      </c>
      <c r="I51" s="42" t="str">
        <f>+IF($I$5=0,"",'4. '!H176)</f>
        <v/>
      </c>
      <c r="J51" s="42" t="str">
        <f>+IF($J$5=0,"",'4. '!I176)</f>
        <v/>
      </c>
      <c r="K51" s="42" t="str">
        <f>+IF($K$5=0,"",'4. '!J176)</f>
        <v/>
      </c>
      <c r="L51" s="42" t="str">
        <f>+IF($L$5=0,"",'4. '!K176)</f>
        <v/>
      </c>
      <c r="M51" s="42" t="str">
        <f>+IF($M$5=0,"",'4. '!L176)</f>
        <v/>
      </c>
      <c r="N51" s="42" t="str">
        <f>+IF($N$5=0,"",'4. '!M176)</f>
        <v/>
      </c>
      <c r="O51" s="42" t="str">
        <f>+IF($O$5=0,"",'4. '!N176)</f>
        <v/>
      </c>
      <c r="P51" s="42" t="str">
        <f>+IF($P$5=0,"",'4. '!O176)</f>
        <v/>
      </c>
      <c r="Q51" s="42" t="str">
        <f>+IF($Q$5=0,"",'4. '!P176)</f>
        <v/>
      </c>
      <c r="R51" s="42" t="str">
        <f>+IF($R$5=0,"",'4. '!Q176)</f>
        <v/>
      </c>
      <c r="S51" s="42" t="str">
        <f>+IF($S$5=0,"",'4. '!R176)</f>
        <v/>
      </c>
      <c r="T51" s="42" t="str">
        <f>+IF($T$5=0,"",'4. '!S176)</f>
        <v/>
      </c>
      <c r="U51" s="42" t="str">
        <f>+IF($U$5=0,"",'4. '!T176)</f>
        <v/>
      </c>
      <c r="V51" s="42" t="str">
        <f>+IF($V$5=0,"",'4. '!U176)</f>
        <v/>
      </c>
      <c r="W51" s="42" t="str">
        <f>+IF($W$5=0,"",'4. '!V176)</f>
        <v/>
      </c>
      <c r="X51" s="42" t="str">
        <f>+IF($X$5=0,"",'4. '!W176)</f>
        <v/>
      </c>
      <c r="Y51" s="42" t="str">
        <f>+IF($Y$5=0,"",'4. '!X176)</f>
        <v/>
      </c>
      <c r="Z51" s="42" t="str">
        <f>+IF($Z$5=0,"",'4. '!Y176)</f>
        <v/>
      </c>
      <c r="AA51" s="42" t="str">
        <f>+IF($AA$5=0,"",'4. '!Z176)</f>
        <v/>
      </c>
      <c r="AB51" s="42" t="str">
        <f>+IF($AB$5=0,"",'4. '!AA176)</f>
        <v/>
      </c>
      <c r="AC51" s="42" t="str">
        <f>+IF($AC$5=0,"",'4. '!AB176)</f>
        <v/>
      </c>
      <c r="AD51" s="42" t="str">
        <f>+IF($AD$5=0,"",'4. '!AC176)</f>
        <v/>
      </c>
      <c r="AE51" s="42" t="str">
        <f>+IF($AE$5=0,"",'4. '!AD176)</f>
        <v/>
      </c>
      <c r="AF51" s="42" t="str">
        <f>+IF($AF$5=0,"",'4. '!AE176)</f>
        <v/>
      </c>
      <c r="AG51" s="49" t="e">
        <f t="shared" si="0"/>
        <v>#DIV/0!</v>
      </c>
      <c r="AH51" s="6"/>
    </row>
    <row r="52" spans="2:34" x14ac:dyDescent="0.25">
      <c r="B52" s="10" t="s">
        <v>236</v>
      </c>
      <c r="C52" s="42" t="str">
        <f>+IF($C$5=0,"",'4. '!B178)</f>
        <v/>
      </c>
      <c r="D52" s="42" t="str">
        <f>+IF($D$5=0,"",'4. '!C178)</f>
        <v/>
      </c>
      <c r="E52" s="42" t="str">
        <f>+IF($E$5=0,"",'4. '!D178)</f>
        <v/>
      </c>
      <c r="F52" s="42" t="str">
        <f>+IF($F$5=0,"",'4. '!E178)</f>
        <v/>
      </c>
      <c r="G52" s="42" t="str">
        <f>+IF($G$5=0,"",'4. '!F178)</f>
        <v/>
      </c>
      <c r="H52" s="42" t="str">
        <f>+IF($H$5=0,"",'4. '!G178)</f>
        <v/>
      </c>
      <c r="I52" s="42" t="str">
        <f>+IF($I$5=0,"",'4. '!H178)</f>
        <v/>
      </c>
      <c r="J52" s="42" t="str">
        <f>+IF($J$5=0,"",'4. '!I178)</f>
        <v/>
      </c>
      <c r="K52" s="42" t="str">
        <f>+IF($K$5=0,"",'4. '!J178)</f>
        <v/>
      </c>
      <c r="L52" s="42" t="str">
        <f>+IF($L$5=0,"",'4. '!K178)</f>
        <v/>
      </c>
      <c r="M52" s="42" t="str">
        <f>+IF($M$5=0,"",'4. '!L178)</f>
        <v/>
      </c>
      <c r="N52" s="42" t="str">
        <f>+IF($N$5=0,"",'4. '!M178)</f>
        <v/>
      </c>
      <c r="O52" s="42" t="str">
        <f>+IF($O$5=0,"",'4. '!N178)</f>
        <v/>
      </c>
      <c r="P52" s="42" t="str">
        <f>+IF($P$5=0,"",'4. '!O178)</f>
        <v/>
      </c>
      <c r="Q52" s="42" t="str">
        <f>+IF($Q$5=0,"",'4. '!P178)</f>
        <v/>
      </c>
      <c r="R52" s="42" t="str">
        <f>+IF($R$5=0,"",'4. '!Q178)</f>
        <v/>
      </c>
      <c r="S52" s="42" t="str">
        <f>+IF($S$5=0,"",'4. '!R178)</f>
        <v/>
      </c>
      <c r="T52" s="42" t="str">
        <f>+IF($T$5=0,"",'4. '!S178)</f>
        <v/>
      </c>
      <c r="U52" s="42" t="str">
        <f>+IF($U$5=0,"",'4. '!T178)</f>
        <v/>
      </c>
      <c r="V52" s="42" t="str">
        <f>+IF($V$5=0,"",'4. '!U178)</f>
        <v/>
      </c>
      <c r="W52" s="42" t="str">
        <f>+IF($W$5=0,"",'4. '!V178)</f>
        <v/>
      </c>
      <c r="X52" s="42" t="str">
        <f>+IF($X$5=0,"",'4. '!W178)</f>
        <v/>
      </c>
      <c r="Y52" s="42" t="str">
        <f>+IF($Y$5=0,"",'4. '!X178)</f>
        <v/>
      </c>
      <c r="Z52" s="42" t="str">
        <f>+IF($Z$5=0,"",'4. '!Y178)</f>
        <v/>
      </c>
      <c r="AA52" s="42" t="str">
        <f>+IF($AA$5=0,"",'4. '!Z178)</f>
        <v/>
      </c>
      <c r="AB52" s="42" t="str">
        <f>+IF($AB$5=0,"",'4. '!AA178)</f>
        <v/>
      </c>
      <c r="AC52" s="42" t="str">
        <f>+IF($AC$5=0,"",'4. '!AB178)</f>
        <v/>
      </c>
      <c r="AD52" s="42" t="str">
        <f>+IF($AD$5=0,"",'4. '!AC178)</f>
        <v/>
      </c>
      <c r="AE52" s="42" t="str">
        <f>+IF($AE$5=0,"",'4. '!AD178)</f>
        <v/>
      </c>
      <c r="AF52" s="42" t="str">
        <f>+IF($AF$5=0,"",'4. '!AE178)</f>
        <v/>
      </c>
      <c r="AG52" s="49" t="e">
        <f t="shared" si="0"/>
        <v>#DIV/0!</v>
      </c>
      <c r="AH52" s="6"/>
    </row>
    <row r="53" spans="2:34" x14ac:dyDescent="0.25">
      <c r="B53" s="10" t="s">
        <v>241</v>
      </c>
      <c r="C53" s="42" t="str">
        <f>+IF($C$5=0,"",'4. '!B183)</f>
        <v/>
      </c>
      <c r="D53" s="42" t="str">
        <f>+IF($D$5=0,"",'4. '!C183)</f>
        <v/>
      </c>
      <c r="E53" s="42" t="str">
        <f>+IF($E$5=0,"",'4. '!D183)</f>
        <v/>
      </c>
      <c r="F53" s="42" t="str">
        <f>+IF($F$5=0,"",'4. '!E183)</f>
        <v/>
      </c>
      <c r="G53" s="42" t="str">
        <f>+IF($G$5=0,"",'4. '!F183)</f>
        <v/>
      </c>
      <c r="H53" s="42" t="str">
        <f>+IF($H$5=0,"",'4. '!G183)</f>
        <v/>
      </c>
      <c r="I53" s="42" t="str">
        <f>+IF($I$5=0,"",'4. '!H183)</f>
        <v/>
      </c>
      <c r="J53" s="42" t="str">
        <f>+IF($J$5=0,"",'4. '!I183)</f>
        <v/>
      </c>
      <c r="K53" s="42" t="str">
        <f>+IF($K$5=0,"",'4. '!J183)</f>
        <v/>
      </c>
      <c r="L53" s="42" t="str">
        <f>+IF($L$5=0,"",'4. '!K183)</f>
        <v/>
      </c>
      <c r="M53" s="42" t="str">
        <f>+IF($M$5=0,"",'4. '!L183)</f>
        <v/>
      </c>
      <c r="N53" s="42" t="str">
        <f>+IF($N$5=0,"",'4. '!M183)</f>
        <v/>
      </c>
      <c r="O53" s="42" t="str">
        <f>+IF($O$5=0,"",'4. '!N183)</f>
        <v/>
      </c>
      <c r="P53" s="42" t="str">
        <f>+IF($P$5=0,"",'4. '!O183)</f>
        <v/>
      </c>
      <c r="Q53" s="42" t="str">
        <f>+IF($Q$5=0,"",'4. '!P183)</f>
        <v/>
      </c>
      <c r="R53" s="42" t="str">
        <f>+IF($R$5=0,"",'4. '!Q183)</f>
        <v/>
      </c>
      <c r="S53" s="42" t="str">
        <f>+IF($S$5=0,"",'4. '!R183)</f>
        <v/>
      </c>
      <c r="T53" s="42" t="str">
        <f>+IF($T$5=0,"",'4. '!S183)</f>
        <v/>
      </c>
      <c r="U53" s="42" t="str">
        <f>+IF($U$5=0,"",'4. '!T183)</f>
        <v/>
      </c>
      <c r="V53" s="42" t="str">
        <f>+IF($V$5=0,"",'4. '!U183)</f>
        <v/>
      </c>
      <c r="W53" s="42" t="str">
        <f>+IF($W$5=0,"",'4. '!V183)</f>
        <v/>
      </c>
      <c r="X53" s="42" t="str">
        <f>+IF($X$5=0,"",'4. '!W183)</f>
        <v/>
      </c>
      <c r="Y53" s="42" t="str">
        <f>+IF($Y$5=0,"",'4. '!X183)</f>
        <v/>
      </c>
      <c r="Z53" s="42" t="str">
        <f>+IF($Z$5=0,"",'4. '!Y183)</f>
        <v/>
      </c>
      <c r="AA53" s="42" t="str">
        <f>+IF($AA$5=0,"",'4. '!Z183)</f>
        <v/>
      </c>
      <c r="AB53" s="42" t="str">
        <f>+IF($AB$5=0,"",'4. '!AA183)</f>
        <v/>
      </c>
      <c r="AC53" s="42" t="str">
        <f>+IF($AC$5=0,"",'4. '!AB183)</f>
        <v/>
      </c>
      <c r="AD53" s="42" t="str">
        <f>+IF($AD$5=0,"",'4. '!AC183)</f>
        <v/>
      </c>
      <c r="AE53" s="42" t="str">
        <f>+IF($AE$5=0,"",'4. '!AD183)</f>
        <v/>
      </c>
      <c r="AF53" s="42" t="str">
        <f>+IF($AF$5=0,"",'4. '!AE183)</f>
        <v/>
      </c>
      <c r="AG53" s="49" t="e">
        <f t="shared" si="0"/>
        <v>#DIV/0!</v>
      </c>
      <c r="AH53" s="6"/>
    </row>
    <row r="54" spans="2:34" x14ac:dyDescent="0.25">
      <c r="B54" s="10" t="s">
        <v>238</v>
      </c>
      <c r="C54" s="42" t="str">
        <f>+IF($C$5=0,"",'4. '!B180)</f>
        <v/>
      </c>
      <c r="D54" s="42" t="str">
        <f>+IF($D$5=0,"",'4. '!C180)</f>
        <v/>
      </c>
      <c r="E54" s="42" t="str">
        <f>+IF($E$5=0,"",'4. '!D180)</f>
        <v/>
      </c>
      <c r="F54" s="42" t="str">
        <f>+IF($F$5=0,"",'4. '!E180)</f>
        <v/>
      </c>
      <c r="G54" s="42" t="str">
        <f>+IF($G$5=0,"",'4. '!F180)</f>
        <v/>
      </c>
      <c r="H54" s="42" t="str">
        <f>+IF($H$5=0,"",'4. '!G180)</f>
        <v/>
      </c>
      <c r="I54" s="42" t="str">
        <f>+IF($I$5=0,"",'4. '!H180)</f>
        <v/>
      </c>
      <c r="J54" s="42" t="str">
        <f>+IF($J$5=0,"",'4. '!I180)</f>
        <v/>
      </c>
      <c r="K54" s="42" t="str">
        <f>+IF($K$5=0,"",'4. '!J180)</f>
        <v/>
      </c>
      <c r="L54" s="42" t="str">
        <f>+IF($L$5=0,"",'4. '!K180)</f>
        <v/>
      </c>
      <c r="M54" s="42" t="str">
        <f>+IF($M$5=0,"",'4. '!L180)</f>
        <v/>
      </c>
      <c r="N54" s="42" t="str">
        <f>+IF($N$5=0,"",'4. '!M180)</f>
        <v/>
      </c>
      <c r="O54" s="42" t="str">
        <f>+IF($O$5=0,"",'4. '!N180)</f>
        <v/>
      </c>
      <c r="P54" s="42" t="str">
        <f>+IF($P$5=0,"",'4. '!O180)</f>
        <v/>
      </c>
      <c r="Q54" s="42" t="str">
        <f>+IF($Q$5=0,"",'4. '!P180)</f>
        <v/>
      </c>
      <c r="R54" s="42" t="str">
        <f>+IF($R$5=0,"",'4. '!Q180)</f>
        <v/>
      </c>
      <c r="S54" s="42" t="str">
        <f>+IF($S$5=0,"",'4. '!R180)</f>
        <v/>
      </c>
      <c r="T54" s="42" t="str">
        <f>+IF($T$5=0,"",'4. '!S180)</f>
        <v/>
      </c>
      <c r="U54" s="42" t="str">
        <f>+IF($U$5=0,"",'4. '!T180)</f>
        <v/>
      </c>
      <c r="V54" s="42" t="str">
        <f>+IF($V$5=0,"",'4. '!U180)</f>
        <v/>
      </c>
      <c r="W54" s="42" t="str">
        <f>+IF($W$5=0,"",'4. '!V180)</f>
        <v/>
      </c>
      <c r="X54" s="42" t="str">
        <f>+IF($X$5=0,"",'4. '!W180)</f>
        <v/>
      </c>
      <c r="Y54" s="42" t="str">
        <f>+IF($Y$5=0,"",'4. '!X180)</f>
        <v/>
      </c>
      <c r="Z54" s="42" t="str">
        <f>+IF($Z$5=0,"",'4. '!Y180)</f>
        <v/>
      </c>
      <c r="AA54" s="42" t="str">
        <f>+IF($AA$5=0,"",'4. '!Z180)</f>
        <v/>
      </c>
      <c r="AB54" s="42" t="str">
        <f>+IF($AB$5=0,"",'4. '!AA180)</f>
        <v/>
      </c>
      <c r="AC54" s="42" t="str">
        <f>+IF($AC$5=0,"",'4. '!AB180)</f>
        <v/>
      </c>
      <c r="AD54" s="42" t="str">
        <f>+IF($AD$5=0,"",'4. '!AC180)</f>
        <v/>
      </c>
      <c r="AE54" s="42" t="str">
        <f>+IF($AE$5=0,"",'4. '!AD180)</f>
        <v/>
      </c>
      <c r="AF54" s="42" t="str">
        <f>+IF($AF$5=0,"",'4. '!AE180)</f>
        <v/>
      </c>
      <c r="AG54" s="49" t="e">
        <f t="shared" si="0"/>
        <v>#DIV/0!</v>
      </c>
      <c r="AH54" s="6"/>
    </row>
    <row r="55" spans="2:34" x14ac:dyDescent="0.25">
      <c r="B55" s="10" t="s">
        <v>225</v>
      </c>
      <c r="C55" s="42" t="str">
        <f>+IF($C$5=0,"",'4. '!B167)</f>
        <v/>
      </c>
      <c r="D55" s="42" t="str">
        <f>+IF($D$5=0,"",'4. '!C167)</f>
        <v/>
      </c>
      <c r="E55" s="42" t="str">
        <f>+IF($E$5=0,"",'4. '!D167)</f>
        <v/>
      </c>
      <c r="F55" s="42" t="str">
        <f>+IF($F$5=0,"",'4. '!E167)</f>
        <v/>
      </c>
      <c r="G55" s="42" t="str">
        <f>+IF($G$5=0,"",'4. '!F167)</f>
        <v/>
      </c>
      <c r="H55" s="42" t="str">
        <f>+IF($H$5=0,"",'4. '!G167)</f>
        <v/>
      </c>
      <c r="I55" s="42" t="str">
        <f>+IF($I$5=0,"",'4. '!H167)</f>
        <v/>
      </c>
      <c r="J55" s="42" t="str">
        <f>+IF($J$5=0,"",'4. '!I167)</f>
        <v/>
      </c>
      <c r="K55" s="42" t="str">
        <f>+IF($K$5=0,"",'4. '!J167)</f>
        <v/>
      </c>
      <c r="L55" s="42" t="str">
        <f>+IF($L$5=0,"",'4. '!K167)</f>
        <v/>
      </c>
      <c r="M55" s="42" t="str">
        <f>+IF($M$5=0,"",'4. '!L167)</f>
        <v/>
      </c>
      <c r="N55" s="42" t="str">
        <f>+IF($N$5=0,"",'4. '!M167)</f>
        <v/>
      </c>
      <c r="O55" s="42" t="str">
        <f>+IF($O$5=0,"",'4. '!N167)</f>
        <v/>
      </c>
      <c r="P55" s="42" t="str">
        <f>+IF($P$5=0,"",'4. '!O167)</f>
        <v/>
      </c>
      <c r="Q55" s="42" t="str">
        <f>+IF($Q$5=0,"",'4. '!P167)</f>
        <v/>
      </c>
      <c r="R55" s="42" t="str">
        <f>+IF($R$5=0,"",'4. '!Q167)</f>
        <v/>
      </c>
      <c r="S55" s="42" t="str">
        <f>+IF($S$5=0,"",'4. '!R167)</f>
        <v/>
      </c>
      <c r="T55" s="42" t="str">
        <f>+IF($T$5=0,"",'4. '!S167)</f>
        <v/>
      </c>
      <c r="U55" s="42" t="str">
        <f>+IF($U$5=0,"",'4. '!T167)</f>
        <v/>
      </c>
      <c r="V55" s="42" t="str">
        <f>+IF($V$5=0,"",'4. '!U167)</f>
        <v/>
      </c>
      <c r="W55" s="42" t="str">
        <f>+IF($W$5=0,"",'4. '!V167)</f>
        <v/>
      </c>
      <c r="X55" s="42" t="str">
        <f>+IF($X$5=0,"",'4. '!W167)</f>
        <v/>
      </c>
      <c r="Y55" s="42" t="str">
        <f>+IF($Y$5=0,"",'4. '!X167)</f>
        <v/>
      </c>
      <c r="Z55" s="42" t="str">
        <f>+IF($Z$5=0,"",'4. '!Y167)</f>
        <v/>
      </c>
      <c r="AA55" s="42" t="str">
        <f>+IF($AA$5=0,"",'4. '!Z167)</f>
        <v/>
      </c>
      <c r="AB55" s="42" t="str">
        <f>+IF($AB$5=0,"",'4. '!AA167)</f>
        <v/>
      </c>
      <c r="AC55" s="42" t="str">
        <f>+IF($AC$5=0,"",'4. '!AB167)</f>
        <v/>
      </c>
      <c r="AD55" s="42" t="str">
        <f>+IF($AD$5=0,"",'4. '!AC167)</f>
        <v/>
      </c>
      <c r="AE55" s="42" t="str">
        <f>+IF($AE$5=0,"",'4. '!AD167)</f>
        <v/>
      </c>
      <c r="AF55" s="42" t="str">
        <f>+IF($AF$5=0,"",'4. '!AE167)</f>
        <v/>
      </c>
      <c r="AG55" s="49" t="e">
        <f t="shared" si="0"/>
        <v>#DIV/0!</v>
      </c>
      <c r="AH55" s="6"/>
    </row>
    <row r="56" spans="2:34" x14ac:dyDescent="0.25">
      <c r="B56" s="10" t="s">
        <v>227</v>
      </c>
      <c r="C56" s="42" t="str">
        <f>+IF($C$5=0,"",'4. '!B169)</f>
        <v/>
      </c>
      <c r="D56" s="42" t="str">
        <f>+IF($D$5=0,"",'4. '!C169)</f>
        <v/>
      </c>
      <c r="E56" s="42" t="str">
        <f>+IF($E$5=0,"",'4. '!D169)</f>
        <v/>
      </c>
      <c r="F56" s="42" t="str">
        <f>+IF($F$5=0,"",'4. '!E169)</f>
        <v/>
      </c>
      <c r="G56" s="42" t="str">
        <f>+IF($G$5=0,"",'4. '!F169)</f>
        <v/>
      </c>
      <c r="H56" s="42" t="str">
        <f>+IF($H$5=0,"",'4. '!G169)</f>
        <v/>
      </c>
      <c r="I56" s="42" t="str">
        <f>+IF($I$5=0,"",'4. '!H169)</f>
        <v/>
      </c>
      <c r="J56" s="42" t="str">
        <f>+IF($J$5=0,"",'4. '!I169)</f>
        <v/>
      </c>
      <c r="K56" s="42" t="str">
        <f>+IF($K$5=0,"",'4. '!J169)</f>
        <v/>
      </c>
      <c r="L56" s="42" t="str">
        <f>+IF($L$5=0,"",'4. '!K169)</f>
        <v/>
      </c>
      <c r="M56" s="42" t="str">
        <f>+IF($M$5=0,"",'4. '!L169)</f>
        <v/>
      </c>
      <c r="N56" s="42" t="str">
        <f>+IF($N$5=0,"",'4. '!M169)</f>
        <v/>
      </c>
      <c r="O56" s="42" t="str">
        <f>+IF($O$5=0,"",'4. '!N169)</f>
        <v/>
      </c>
      <c r="P56" s="42" t="str">
        <f>+IF($P$5=0,"",'4. '!O169)</f>
        <v/>
      </c>
      <c r="Q56" s="42" t="str">
        <f>+IF($Q$5=0,"",'4. '!P169)</f>
        <v/>
      </c>
      <c r="R56" s="42" t="str">
        <f>+IF($R$5=0,"",'4. '!Q169)</f>
        <v/>
      </c>
      <c r="S56" s="42" t="str">
        <f>+IF($S$5=0,"",'4. '!R169)</f>
        <v/>
      </c>
      <c r="T56" s="42" t="str">
        <f>+IF($T$5=0,"",'4. '!S169)</f>
        <v/>
      </c>
      <c r="U56" s="42" t="str">
        <f>+IF($U$5=0,"",'4. '!T169)</f>
        <v/>
      </c>
      <c r="V56" s="42" t="str">
        <f>+IF($V$5=0,"",'4. '!U169)</f>
        <v/>
      </c>
      <c r="W56" s="42" t="str">
        <f>+IF($W$5=0,"",'4. '!V169)</f>
        <v/>
      </c>
      <c r="X56" s="42" t="str">
        <f>+IF($X$5=0,"",'4. '!W169)</f>
        <v/>
      </c>
      <c r="Y56" s="42" t="str">
        <f>+IF($Y$5=0,"",'4. '!X169)</f>
        <v/>
      </c>
      <c r="Z56" s="42" t="str">
        <f>+IF($Z$5=0,"",'4. '!Y169)</f>
        <v/>
      </c>
      <c r="AA56" s="42" t="str">
        <f>+IF($AA$5=0,"",'4. '!Z169)</f>
        <v/>
      </c>
      <c r="AB56" s="42" t="str">
        <f>+IF($AB$5=0,"",'4. '!AA169)</f>
        <v/>
      </c>
      <c r="AC56" s="42" t="str">
        <f>+IF($AC$5=0,"",'4. '!AB169)</f>
        <v/>
      </c>
      <c r="AD56" s="42" t="str">
        <f>+IF($AD$5=0,"",'4. '!AC169)</f>
        <v/>
      </c>
      <c r="AE56" s="42" t="str">
        <f>+IF($AE$5=0,"",'4. '!AD169)</f>
        <v/>
      </c>
      <c r="AF56" s="42" t="str">
        <f>+IF($AF$5=0,"",'4. '!AE169)</f>
        <v/>
      </c>
      <c r="AG56" s="49" t="e">
        <f t="shared" si="0"/>
        <v>#DIV/0!</v>
      </c>
      <c r="AH56" s="6"/>
    </row>
    <row r="57" spans="2:34" x14ac:dyDescent="0.25">
      <c r="B57" s="10" t="s">
        <v>232</v>
      </c>
      <c r="C57" s="42" t="str">
        <f>+IF($C$5=0,"",'4. '!B174)</f>
        <v/>
      </c>
      <c r="D57" s="42" t="str">
        <f>+IF($D$5=0,"",'4. '!C174)</f>
        <v/>
      </c>
      <c r="E57" s="42" t="str">
        <f>+IF($E$5=0,"",'4. '!D174)</f>
        <v/>
      </c>
      <c r="F57" s="42" t="str">
        <f>+IF($F$5=0,"",'4. '!E174)</f>
        <v/>
      </c>
      <c r="G57" s="42" t="str">
        <f>+IF($G$5=0,"",'4. '!F174)</f>
        <v/>
      </c>
      <c r="H57" s="42" t="str">
        <f>+IF($H$5=0,"",'4. '!G174)</f>
        <v/>
      </c>
      <c r="I57" s="42" t="str">
        <f>+IF($I$5=0,"",'4. '!H174)</f>
        <v/>
      </c>
      <c r="J57" s="42" t="str">
        <f>+IF($J$5=0,"",'4. '!I174)</f>
        <v/>
      </c>
      <c r="K57" s="42" t="str">
        <f>+IF($K$5=0,"",'4. '!J174)</f>
        <v/>
      </c>
      <c r="L57" s="42" t="str">
        <f>+IF($L$5=0,"",'4. '!K174)</f>
        <v/>
      </c>
      <c r="M57" s="42" t="str">
        <f>+IF($M$5=0,"",'4. '!L174)</f>
        <v/>
      </c>
      <c r="N57" s="42" t="str">
        <f>+IF($N$5=0,"",'4. '!M174)</f>
        <v/>
      </c>
      <c r="O57" s="42" t="str">
        <f>+IF($O$5=0,"",'4. '!N174)</f>
        <v/>
      </c>
      <c r="P57" s="42" t="str">
        <f>+IF($P$5=0,"",'4. '!O174)</f>
        <v/>
      </c>
      <c r="Q57" s="42" t="str">
        <f>+IF($Q$5=0,"",'4. '!P174)</f>
        <v/>
      </c>
      <c r="R57" s="42" t="str">
        <f>+IF($R$5=0,"",'4. '!Q174)</f>
        <v/>
      </c>
      <c r="S57" s="42" t="str">
        <f>+IF($S$5=0,"",'4. '!R174)</f>
        <v/>
      </c>
      <c r="T57" s="42" t="str">
        <f>+IF($T$5=0,"",'4. '!S174)</f>
        <v/>
      </c>
      <c r="U57" s="42" t="str">
        <f>+IF($U$5=0,"",'4. '!T174)</f>
        <v/>
      </c>
      <c r="V57" s="42" t="str">
        <f>+IF($V$5=0,"",'4. '!U174)</f>
        <v/>
      </c>
      <c r="W57" s="42" t="str">
        <f>+IF($W$5=0,"",'4. '!V174)</f>
        <v/>
      </c>
      <c r="X57" s="42" t="str">
        <f>+IF($X$5=0,"",'4. '!W174)</f>
        <v/>
      </c>
      <c r="Y57" s="42" t="str">
        <f>+IF($Y$5=0,"",'4. '!X174)</f>
        <v/>
      </c>
      <c r="Z57" s="42" t="str">
        <f>+IF($Z$5=0,"",'4. '!Y174)</f>
        <v/>
      </c>
      <c r="AA57" s="42" t="str">
        <f>+IF($AA$5=0,"",'4. '!Z174)</f>
        <v/>
      </c>
      <c r="AB57" s="42" t="str">
        <f>+IF($AB$5=0,"",'4. '!AA174)</f>
        <v/>
      </c>
      <c r="AC57" s="42" t="str">
        <f>+IF($AC$5=0,"",'4. '!AB174)</f>
        <v/>
      </c>
      <c r="AD57" s="42" t="str">
        <f>+IF($AD$5=0,"",'4. '!AC174)</f>
        <v/>
      </c>
      <c r="AE57" s="42" t="str">
        <f>+IF($AE$5=0,"",'4. '!AD174)</f>
        <v/>
      </c>
      <c r="AF57" s="42" t="str">
        <f>+IF($AF$5=0,"",'4. '!AE174)</f>
        <v/>
      </c>
      <c r="AG57" s="49" t="e">
        <f t="shared" si="0"/>
        <v>#DIV/0!</v>
      </c>
      <c r="AH57" s="6"/>
    </row>
    <row r="58" spans="2:34" x14ac:dyDescent="0.25">
      <c r="B58" s="10" t="s">
        <v>229</v>
      </c>
      <c r="C58" s="42" t="str">
        <f>+IF($C$5=0,"",'4. '!B171)</f>
        <v/>
      </c>
      <c r="D58" s="42" t="str">
        <f>+IF($D$5=0,"",'4. '!C171)</f>
        <v/>
      </c>
      <c r="E58" s="42" t="str">
        <f>+IF($E$5=0,"",'4. '!D171)</f>
        <v/>
      </c>
      <c r="F58" s="42" t="str">
        <f>+IF($F$5=0,"",'4. '!E171)</f>
        <v/>
      </c>
      <c r="G58" s="42" t="str">
        <f>+IF($G$5=0,"",'4. '!F171)</f>
        <v/>
      </c>
      <c r="H58" s="42" t="str">
        <f>+IF($H$5=0,"",'4. '!G171)</f>
        <v/>
      </c>
      <c r="I58" s="42" t="str">
        <f>+IF($I$5=0,"",'4. '!H171)</f>
        <v/>
      </c>
      <c r="J58" s="42" t="str">
        <f>+IF($J$5=0,"",'4. '!I171)</f>
        <v/>
      </c>
      <c r="K58" s="42" t="str">
        <f>+IF($K$5=0,"",'4. '!J171)</f>
        <v/>
      </c>
      <c r="L58" s="42" t="str">
        <f>+IF($L$5=0,"",'4. '!K171)</f>
        <v/>
      </c>
      <c r="M58" s="42" t="str">
        <f>+IF($M$5=0,"",'4. '!L171)</f>
        <v/>
      </c>
      <c r="N58" s="42" t="str">
        <f>+IF($N$5=0,"",'4. '!M171)</f>
        <v/>
      </c>
      <c r="O58" s="42" t="str">
        <f>+IF($O$5=0,"",'4. '!N171)</f>
        <v/>
      </c>
      <c r="P58" s="42" t="str">
        <f>+IF($P$5=0,"",'4. '!O171)</f>
        <v/>
      </c>
      <c r="Q58" s="42" t="str">
        <f>+IF($Q$5=0,"",'4. '!P171)</f>
        <v/>
      </c>
      <c r="R58" s="42" t="str">
        <f>+IF($R$5=0,"",'4. '!Q171)</f>
        <v/>
      </c>
      <c r="S58" s="42" t="str">
        <f>+IF($S$5=0,"",'4. '!R171)</f>
        <v/>
      </c>
      <c r="T58" s="42" t="str">
        <f>+IF($T$5=0,"",'4. '!S171)</f>
        <v/>
      </c>
      <c r="U58" s="42" t="str">
        <f>+IF($U$5=0,"",'4. '!T171)</f>
        <v/>
      </c>
      <c r="V58" s="42" t="str">
        <f>+IF($V$5=0,"",'4. '!U171)</f>
        <v/>
      </c>
      <c r="W58" s="42" t="str">
        <f>+IF($W$5=0,"",'4. '!V171)</f>
        <v/>
      </c>
      <c r="X58" s="42" t="str">
        <f>+IF($X$5=0,"",'4. '!W171)</f>
        <v/>
      </c>
      <c r="Y58" s="42" t="str">
        <f>+IF($Y$5=0,"",'4. '!X171)</f>
        <v/>
      </c>
      <c r="Z58" s="42" t="str">
        <f>+IF($Z$5=0,"",'4. '!Y171)</f>
        <v/>
      </c>
      <c r="AA58" s="42" t="str">
        <f>+IF($AA$5=0,"",'4. '!Z171)</f>
        <v/>
      </c>
      <c r="AB58" s="42" t="str">
        <f>+IF($AB$5=0,"",'4. '!AA171)</f>
        <v/>
      </c>
      <c r="AC58" s="42" t="str">
        <f>+IF($AC$5=0,"",'4. '!AB171)</f>
        <v/>
      </c>
      <c r="AD58" s="42" t="str">
        <f>+IF($AD$5=0,"",'4. '!AC171)</f>
        <v/>
      </c>
      <c r="AE58" s="42" t="str">
        <f>+IF($AE$5=0,"",'4. '!AD171)</f>
        <v/>
      </c>
      <c r="AF58" s="42" t="str">
        <f>+IF($AF$5=0,"",'4. '!AE171)</f>
        <v/>
      </c>
      <c r="AG58" s="49" t="e">
        <f t="shared" si="0"/>
        <v>#DIV/0!</v>
      </c>
      <c r="AH58" s="6"/>
    </row>
    <row r="59" spans="2:34" x14ac:dyDescent="0.25">
      <c r="B59" s="10" t="s">
        <v>217</v>
      </c>
      <c r="C59" s="42" t="str">
        <f>+IF($C$5=0,"",'4. '!B159)</f>
        <v/>
      </c>
      <c r="D59" s="42" t="str">
        <f>+IF($D$5=0,"",'4. '!C159)</f>
        <v/>
      </c>
      <c r="E59" s="42" t="str">
        <f>+IF($E$5=0,"",'4. '!D159)</f>
        <v/>
      </c>
      <c r="F59" s="42" t="str">
        <f>+IF($F$5=0,"",'4. '!E159)</f>
        <v/>
      </c>
      <c r="G59" s="42" t="str">
        <f>+IF($G$5=0,"",'4. '!F159)</f>
        <v/>
      </c>
      <c r="H59" s="42" t="str">
        <f>+IF($H$5=0,"",'4. '!G159)</f>
        <v/>
      </c>
      <c r="I59" s="42" t="str">
        <f>+IF($I$5=0,"",'4. '!H159)</f>
        <v/>
      </c>
      <c r="J59" s="42" t="str">
        <f>+IF($J$5=0,"",'4. '!I159)</f>
        <v/>
      </c>
      <c r="K59" s="42" t="str">
        <f>+IF($K$5=0,"",'4. '!J159)</f>
        <v/>
      </c>
      <c r="L59" s="42" t="str">
        <f>+IF($L$5=0,"",'4. '!K159)</f>
        <v/>
      </c>
      <c r="M59" s="42" t="str">
        <f>+IF($M$5=0,"",'4. '!L159)</f>
        <v/>
      </c>
      <c r="N59" s="42" t="str">
        <f>+IF($N$5=0,"",'4. '!M159)</f>
        <v/>
      </c>
      <c r="O59" s="42" t="str">
        <f>+IF($O$5=0,"",'4. '!N159)</f>
        <v/>
      </c>
      <c r="P59" s="42" t="str">
        <f>+IF($P$5=0,"",'4. '!O159)</f>
        <v/>
      </c>
      <c r="Q59" s="42" t="str">
        <f>+IF($Q$5=0,"",'4. '!P159)</f>
        <v/>
      </c>
      <c r="R59" s="42" t="str">
        <f>+IF($R$5=0,"",'4. '!Q159)</f>
        <v/>
      </c>
      <c r="S59" s="42" t="str">
        <f>+IF($S$5=0,"",'4. '!R159)</f>
        <v/>
      </c>
      <c r="T59" s="42" t="str">
        <f>+IF($T$5=0,"",'4. '!S159)</f>
        <v/>
      </c>
      <c r="U59" s="42" t="str">
        <f>+IF($U$5=0,"",'4. '!T159)</f>
        <v/>
      </c>
      <c r="V59" s="42" t="str">
        <f>+IF($V$5=0,"",'4. '!U159)</f>
        <v/>
      </c>
      <c r="W59" s="42" t="str">
        <f>+IF($W$5=0,"",'4. '!V159)</f>
        <v/>
      </c>
      <c r="X59" s="42" t="str">
        <f>+IF($X$5=0,"",'4. '!W159)</f>
        <v/>
      </c>
      <c r="Y59" s="42" t="str">
        <f>+IF($Y$5=0,"",'4. '!X159)</f>
        <v/>
      </c>
      <c r="Z59" s="42" t="str">
        <f>+IF($Z$5=0,"",'4. '!Y159)</f>
        <v/>
      </c>
      <c r="AA59" s="42" t="str">
        <f>+IF($AA$5=0,"",'4. '!Z159)</f>
        <v/>
      </c>
      <c r="AB59" s="42" t="str">
        <f>+IF($AB$5=0,"",'4. '!AA159)</f>
        <v/>
      </c>
      <c r="AC59" s="42" t="str">
        <f>+IF($AC$5=0,"",'4. '!AB159)</f>
        <v/>
      </c>
      <c r="AD59" s="42" t="str">
        <f>+IF($AD$5=0,"",'4. '!AC159)</f>
        <v/>
      </c>
      <c r="AE59" s="42" t="str">
        <f>+IF($AE$5=0,"",'4. '!AD159)</f>
        <v/>
      </c>
      <c r="AF59" s="42" t="str">
        <f>+IF($AF$5=0,"",'4. '!AE159)</f>
        <v/>
      </c>
      <c r="AG59" s="49" t="e">
        <f t="shared" si="0"/>
        <v>#DIV/0!</v>
      </c>
      <c r="AH59" s="6"/>
    </row>
    <row r="60" spans="2:34" x14ac:dyDescent="0.25">
      <c r="B60" s="10" t="s">
        <v>124</v>
      </c>
      <c r="C60" s="42" t="str">
        <f>+IF($C$5=0,"",'4. '!B78)</f>
        <v/>
      </c>
      <c r="D60" s="42" t="str">
        <f>+IF($D$5=0,"",'4. '!C78)</f>
        <v/>
      </c>
      <c r="E60" s="42" t="str">
        <f>+IF($E$5=0,"",'4. '!D78)</f>
        <v/>
      </c>
      <c r="F60" s="42" t="str">
        <f>+IF($F$5=0,"",'4. '!E78)</f>
        <v/>
      </c>
      <c r="G60" s="42" t="str">
        <f>+IF($G$5=0,"",'4. '!F78)</f>
        <v/>
      </c>
      <c r="H60" s="42" t="str">
        <f>+IF($H$5=0,"",'4. '!G78)</f>
        <v/>
      </c>
      <c r="I60" s="42" t="str">
        <f>+IF($I$5=0,"",'4. '!H78)</f>
        <v/>
      </c>
      <c r="J60" s="42" t="str">
        <f>+IF($J$5=0,"",'4. '!I78)</f>
        <v/>
      </c>
      <c r="K60" s="42" t="str">
        <f>+IF($K$5=0,"",'4. '!J78)</f>
        <v/>
      </c>
      <c r="L60" s="42" t="str">
        <f>+IF($L$5=0,"",'4. '!K78)</f>
        <v/>
      </c>
      <c r="M60" s="42" t="str">
        <f>+IF($M$5=0,"",'4. '!L78)</f>
        <v/>
      </c>
      <c r="N60" s="42" t="str">
        <f>+IF($N$5=0,"",'4. '!M78)</f>
        <v/>
      </c>
      <c r="O60" s="42" t="str">
        <f>+IF($O$5=0,"",'4. '!N78)</f>
        <v/>
      </c>
      <c r="P60" s="42" t="str">
        <f>+IF($P$5=0,"",'4. '!O78)</f>
        <v/>
      </c>
      <c r="Q60" s="42" t="str">
        <f>+IF($Q$5=0,"",'4. '!P78)</f>
        <v/>
      </c>
      <c r="R60" s="42" t="str">
        <f>+IF($R$5=0,"",'4. '!Q78)</f>
        <v/>
      </c>
      <c r="S60" s="42" t="str">
        <f>+IF($S$5=0,"",'4. '!R78)</f>
        <v/>
      </c>
      <c r="T60" s="42" t="str">
        <f>+IF($T$5=0,"",'4. '!S78)</f>
        <v/>
      </c>
      <c r="U60" s="42" t="str">
        <f>+IF($U$5=0,"",'4. '!T78)</f>
        <v/>
      </c>
      <c r="V60" s="42" t="str">
        <f>+IF($V$5=0,"",'4. '!U78)</f>
        <v/>
      </c>
      <c r="W60" s="42" t="str">
        <f>+IF($W$5=0,"",'4. '!V78)</f>
        <v/>
      </c>
      <c r="X60" s="42" t="str">
        <f>+IF($X$5=0,"",'4. '!W78)</f>
        <v/>
      </c>
      <c r="Y60" s="42" t="str">
        <f>+IF($Y$5=0,"",'4. '!X78)</f>
        <v/>
      </c>
      <c r="Z60" s="42" t="str">
        <f>+IF($Z$5=0,"",'4. '!Y78)</f>
        <v/>
      </c>
      <c r="AA60" s="42" t="str">
        <f>+IF($AA$5=0,"",'4. '!Z78)</f>
        <v/>
      </c>
      <c r="AB60" s="42" t="str">
        <f>+IF($AB$5=0,"",'4. '!AA78)</f>
        <v/>
      </c>
      <c r="AC60" s="42" t="str">
        <f>+IF($AC$5=0,"",'4. '!AB78)</f>
        <v/>
      </c>
      <c r="AD60" s="42" t="str">
        <f>+IF($AD$5=0,"",'4. '!AC78)</f>
        <v/>
      </c>
      <c r="AE60" s="42" t="str">
        <f>+IF($AE$5=0,"",'4. '!AD78)</f>
        <v/>
      </c>
      <c r="AF60" s="42" t="str">
        <f>+IF($AF$5=0,"",'4. '!AE78)</f>
        <v/>
      </c>
      <c r="AG60" s="49" t="e">
        <f t="shared" si="0"/>
        <v>#DIV/0!</v>
      </c>
      <c r="AH60" s="6"/>
    </row>
    <row r="61" spans="2:34" x14ac:dyDescent="0.25">
      <c r="B61" s="10" t="s">
        <v>207</v>
      </c>
      <c r="C61" s="42" t="str">
        <f>+IF($C$5=0,"",'4. '!B149)</f>
        <v/>
      </c>
      <c r="D61" s="42" t="str">
        <f>+IF($D$5=0,"",'4. '!C149)</f>
        <v/>
      </c>
      <c r="E61" s="42" t="str">
        <f>+IF($E$5=0,"",'4. '!D149)</f>
        <v/>
      </c>
      <c r="F61" s="42" t="str">
        <f>+IF($F$5=0,"",'4. '!E149)</f>
        <v/>
      </c>
      <c r="G61" s="42" t="str">
        <f>+IF($G$5=0,"",'4. '!F149)</f>
        <v/>
      </c>
      <c r="H61" s="42" t="str">
        <f>+IF($H$5=0,"",'4. '!G149)</f>
        <v/>
      </c>
      <c r="I61" s="42" t="str">
        <f>+IF($I$5=0,"",'4. '!H149)</f>
        <v/>
      </c>
      <c r="J61" s="42" t="str">
        <f>+IF($J$5=0,"",'4. '!I149)</f>
        <v/>
      </c>
      <c r="K61" s="42" t="str">
        <f>+IF($K$5=0,"",'4. '!J149)</f>
        <v/>
      </c>
      <c r="L61" s="42" t="str">
        <f>+IF($L$5=0,"",'4. '!K149)</f>
        <v/>
      </c>
      <c r="M61" s="42" t="str">
        <f>+IF($M$5=0,"",'4. '!L149)</f>
        <v/>
      </c>
      <c r="N61" s="42" t="str">
        <f>+IF($N$5=0,"",'4. '!M149)</f>
        <v/>
      </c>
      <c r="O61" s="42" t="str">
        <f>+IF($O$5=0,"",'4. '!N149)</f>
        <v/>
      </c>
      <c r="P61" s="42" t="str">
        <f>+IF($P$5=0,"",'4. '!O149)</f>
        <v/>
      </c>
      <c r="Q61" s="42" t="str">
        <f>+IF($Q$5=0,"",'4. '!P149)</f>
        <v/>
      </c>
      <c r="R61" s="42" t="str">
        <f>+IF($R$5=0,"",'4. '!Q149)</f>
        <v/>
      </c>
      <c r="S61" s="42" t="str">
        <f>+IF($S$5=0,"",'4. '!R149)</f>
        <v/>
      </c>
      <c r="T61" s="42" t="str">
        <f>+IF($T$5=0,"",'4. '!S149)</f>
        <v/>
      </c>
      <c r="U61" s="42" t="str">
        <f>+IF($U$5=0,"",'4. '!T149)</f>
        <v/>
      </c>
      <c r="V61" s="42" t="str">
        <f>+IF($V$5=0,"",'4. '!U149)</f>
        <v/>
      </c>
      <c r="W61" s="42" t="str">
        <f>+IF($W$5=0,"",'4. '!V149)</f>
        <v/>
      </c>
      <c r="X61" s="42" t="str">
        <f>+IF($X$5=0,"",'4. '!W149)</f>
        <v/>
      </c>
      <c r="Y61" s="42" t="str">
        <f>+IF($Y$5=0,"",'4. '!X149)</f>
        <v/>
      </c>
      <c r="Z61" s="42" t="str">
        <f>+IF($Z$5=0,"",'4. '!Y149)</f>
        <v/>
      </c>
      <c r="AA61" s="42" t="str">
        <f>+IF($AA$5=0,"",'4. '!Z149)</f>
        <v/>
      </c>
      <c r="AB61" s="42" t="str">
        <f>+IF($AB$5=0,"",'4. '!AA149)</f>
        <v/>
      </c>
      <c r="AC61" s="42" t="str">
        <f>+IF($AC$5=0,"",'4. '!AB149)</f>
        <v/>
      </c>
      <c r="AD61" s="42" t="str">
        <f>+IF($AD$5=0,"",'4. '!AC149)</f>
        <v/>
      </c>
      <c r="AE61" s="42" t="str">
        <f>+IF($AE$5=0,"",'4. '!AD149)</f>
        <v/>
      </c>
      <c r="AF61" s="42" t="str">
        <f>+IF($AF$5=0,"",'4. '!AE149)</f>
        <v/>
      </c>
      <c r="AG61" s="49" t="e">
        <f t="shared" si="0"/>
        <v>#DIV/0!</v>
      </c>
      <c r="AH61" s="6"/>
    </row>
    <row r="62" spans="2:34" x14ac:dyDescent="0.25">
      <c r="B62" s="10" t="s">
        <v>209</v>
      </c>
      <c r="C62" s="42" t="str">
        <f>+IF($C$5=0,"",'4. '!B151)</f>
        <v/>
      </c>
      <c r="D62" s="42" t="str">
        <f>+IF($D$5=0,"",'4. '!C151)</f>
        <v/>
      </c>
      <c r="E62" s="42" t="str">
        <f>+IF($E$5=0,"",'4. '!D151)</f>
        <v/>
      </c>
      <c r="F62" s="42" t="str">
        <f>+IF($F$5=0,"",'4. '!E151)</f>
        <v/>
      </c>
      <c r="G62" s="42" t="str">
        <f>+IF($G$5=0,"",'4. '!F151)</f>
        <v/>
      </c>
      <c r="H62" s="42" t="str">
        <f>+IF($H$5=0,"",'4. '!G151)</f>
        <v/>
      </c>
      <c r="I62" s="42" t="str">
        <f>+IF($I$5=0,"",'4. '!H151)</f>
        <v/>
      </c>
      <c r="J62" s="42" t="str">
        <f>+IF($J$5=0,"",'4. '!I151)</f>
        <v/>
      </c>
      <c r="K62" s="42" t="str">
        <f>+IF($K$5=0,"",'4. '!J151)</f>
        <v/>
      </c>
      <c r="L62" s="42" t="str">
        <f>+IF($L$5=0,"",'4. '!K151)</f>
        <v/>
      </c>
      <c r="M62" s="42" t="str">
        <f>+IF($M$5=0,"",'4. '!L151)</f>
        <v/>
      </c>
      <c r="N62" s="42" t="str">
        <f>+IF($N$5=0,"",'4. '!M151)</f>
        <v/>
      </c>
      <c r="O62" s="42" t="str">
        <f>+IF($O$5=0,"",'4. '!N151)</f>
        <v/>
      </c>
      <c r="P62" s="42" t="str">
        <f>+IF($P$5=0,"",'4. '!O151)</f>
        <v/>
      </c>
      <c r="Q62" s="42" t="str">
        <f>+IF($Q$5=0,"",'4. '!P151)</f>
        <v/>
      </c>
      <c r="R62" s="42" t="str">
        <f>+IF($R$5=0,"",'4. '!Q151)</f>
        <v/>
      </c>
      <c r="S62" s="42" t="str">
        <f>+IF($S$5=0,"",'4. '!R151)</f>
        <v/>
      </c>
      <c r="T62" s="42" t="str">
        <f>+IF($T$5=0,"",'4. '!S151)</f>
        <v/>
      </c>
      <c r="U62" s="42" t="str">
        <f>+IF($U$5=0,"",'4. '!T151)</f>
        <v/>
      </c>
      <c r="V62" s="42" t="str">
        <f>+IF($V$5=0,"",'4. '!U151)</f>
        <v/>
      </c>
      <c r="W62" s="42" t="str">
        <f>+IF($W$5=0,"",'4. '!V151)</f>
        <v/>
      </c>
      <c r="X62" s="42" t="str">
        <f>+IF($X$5=0,"",'4. '!W151)</f>
        <v/>
      </c>
      <c r="Y62" s="42" t="str">
        <f>+IF($Y$5=0,"",'4. '!X151)</f>
        <v/>
      </c>
      <c r="Z62" s="42" t="str">
        <f>+IF($Z$5=0,"",'4. '!Y151)</f>
        <v/>
      </c>
      <c r="AA62" s="42" t="str">
        <f>+IF($AA$5=0,"",'4. '!Z151)</f>
        <v/>
      </c>
      <c r="AB62" s="42" t="str">
        <f>+IF($AB$5=0,"",'4. '!AA151)</f>
        <v/>
      </c>
      <c r="AC62" s="42" t="str">
        <f>+IF($AC$5=0,"",'4. '!AB151)</f>
        <v/>
      </c>
      <c r="AD62" s="42" t="str">
        <f>+IF($AD$5=0,"",'4. '!AC151)</f>
        <v/>
      </c>
      <c r="AE62" s="42" t="str">
        <f>+IF($AE$5=0,"",'4. '!AD151)</f>
        <v/>
      </c>
      <c r="AF62" s="42" t="str">
        <f>+IF($AF$5=0,"",'4. '!AE151)</f>
        <v/>
      </c>
      <c r="AG62" s="49" t="e">
        <f t="shared" si="0"/>
        <v>#DIV/0!</v>
      </c>
      <c r="AH62" s="6"/>
    </row>
    <row r="63" spans="2:34" x14ac:dyDescent="0.25">
      <c r="B63" s="10" t="s">
        <v>114</v>
      </c>
      <c r="C63" s="42" t="str">
        <f>+IF($C$5=0,"",'4. '!B68)</f>
        <v/>
      </c>
      <c r="D63" s="42" t="str">
        <f>+IF($D$5=0,"",'4. '!C68)</f>
        <v/>
      </c>
      <c r="E63" s="42" t="str">
        <f>+IF($E$5=0,"",'4. '!D68)</f>
        <v/>
      </c>
      <c r="F63" s="42" t="str">
        <f>+IF($F$5=0,"",'4. '!E68)</f>
        <v/>
      </c>
      <c r="G63" s="42" t="str">
        <f>+IF($G$5=0,"",'4. '!F68)</f>
        <v/>
      </c>
      <c r="H63" s="42" t="str">
        <f>+IF($H$5=0,"",'4. '!G68)</f>
        <v/>
      </c>
      <c r="I63" s="42" t="str">
        <f>+IF($I$5=0,"",'4. '!H68)</f>
        <v/>
      </c>
      <c r="J63" s="42" t="str">
        <f>+IF($J$5=0,"",'4. '!I68)</f>
        <v/>
      </c>
      <c r="K63" s="42" t="str">
        <f>+IF($K$5=0,"",'4. '!J68)</f>
        <v/>
      </c>
      <c r="L63" s="42" t="str">
        <f>+IF($L$5=0,"",'4. '!K68)</f>
        <v/>
      </c>
      <c r="M63" s="42" t="str">
        <f>+IF($M$5=0,"",'4. '!L68)</f>
        <v/>
      </c>
      <c r="N63" s="42" t="str">
        <f>+IF($N$5=0,"",'4. '!M68)</f>
        <v/>
      </c>
      <c r="O63" s="42" t="str">
        <f>+IF($O$5=0,"",'4. '!N68)</f>
        <v/>
      </c>
      <c r="P63" s="42" t="str">
        <f>+IF($P$5=0,"",'4. '!O68)</f>
        <v/>
      </c>
      <c r="Q63" s="42" t="str">
        <f>+IF($Q$5=0,"",'4. '!P68)</f>
        <v/>
      </c>
      <c r="R63" s="42" t="str">
        <f>+IF($R$5=0,"",'4. '!Q68)</f>
        <v/>
      </c>
      <c r="S63" s="42" t="str">
        <f>+IF($S$5=0,"",'4. '!R68)</f>
        <v/>
      </c>
      <c r="T63" s="42" t="str">
        <f>+IF($T$5=0,"",'4. '!S68)</f>
        <v/>
      </c>
      <c r="U63" s="42" t="str">
        <f>+IF($U$5=0,"",'4. '!T68)</f>
        <v/>
      </c>
      <c r="V63" s="42" t="str">
        <f>+IF($V$5=0,"",'4. '!U68)</f>
        <v/>
      </c>
      <c r="W63" s="42" t="str">
        <f>+IF($W$5=0,"",'4. '!V68)</f>
        <v/>
      </c>
      <c r="X63" s="42" t="str">
        <f>+IF($X$5=0,"",'4. '!W68)</f>
        <v/>
      </c>
      <c r="Y63" s="42" t="str">
        <f>+IF($Y$5=0,"",'4. '!X68)</f>
        <v/>
      </c>
      <c r="Z63" s="42" t="str">
        <f>+IF($Z$5=0,"",'4. '!Y68)</f>
        <v/>
      </c>
      <c r="AA63" s="42" t="str">
        <f>+IF($AA$5=0,"",'4. '!Z68)</f>
        <v/>
      </c>
      <c r="AB63" s="42" t="str">
        <f>+IF($AB$5=0,"",'4. '!AA68)</f>
        <v/>
      </c>
      <c r="AC63" s="42" t="str">
        <f>+IF($AC$5=0,"",'4. '!AB68)</f>
        <v/>
      </c>
      <c r="AD63" s="42" t="str">
        <f>+IF($AD$5=0,"",'4. '!AC68)</f>
        <v/>
      </c>
      <c r="AE63" s="42" t="str">
        <f>+IF($AE$5=0,"",'4. '!AD68)</f>
        <v/>
      </c>
      <c r="AF63" s="42" t="str">
        <f>+IF($AF$5=0,"",'4. '!AE68)</f>
        <v/>
      </c>
      <c r="AG63" s="49" t="e">
        <f t="shared" si="0"/>
        <v>#DIV/0!</v>
      </c>
      <c r="AH63" s="6"/>
    </row>
    <row r="64" spans="2:34" x14ac:dyDescent="0.25">
      <c r="B64" s="10" t="s">
        <v>116</v>
      </c>
      <c r="C64" s="42" t="str">
        <f>+IF($C$5=0,"",'4. '!B70)</f>
        <v/>
      </c>
      <c r="D64" s="42" t="str">
        <f>+IF($D$5=0,"",'4. '!C70)</f>
        <v/>
      </c>
      <c r="E64" s="42" t="str">
        <f>+IF($E$5=0,"",'4. '!D70)</f>
        <v/>
      </c>
      <c r="F64" s="42" t="str">
        <f>+IF($F$5=0,"",'4. '!E70)</f>
        <v/>
      </c>
      <c r="G64" s="42" t="str">
        <f>+IF($G$5=0,"",'4. '!F70)</f>
        <v/>
      </c>
      <c r="H64" s="42" t="str">
        <f>+IF($H$5=0,"",'4. '!G70)</f>
        <v/>
      </c>
      <c r="I64" s="42" t="str">
        <f>+IF($I$5=0,"",'4. '!H70)</f>
        <v/>
      </c>
      <c r="J64" s="42" t="str">
        <f>+IF($J$5=0,"",'4. '!I70)</f>
        <v/>
      </c>
      <c r="K64" s="42" t="str">
        <f>+IF($K$5=0,"",'4. '!J70)</f>
        <v/>
      </c>
      <c r="L64" s="42" t="str">
        <f>+IF($L$5=0,"",'4. '!K70)</f>
        <v/>
      </c>
      <c r="M64" s="42" t="str">
        <f>+IF($M$5=0,"",'4. '!L70)</f>
        <v/>
      </c>
      <c r="N64" s="42" t="str">
        <f>+IF($N$5=0,"",'4. '!M70)</f>
        <v/>
      </c>
      <c r="O64" s="42" t="str">
        <f>+IF($O$5=0,"",'4. '!N70)</f>
        <v/>
      </c>
      <c r="P64" s="42" t="str">
        <f>+IF($P$5=0,"",'4. '!O70)</f>
        <v/>
      </c>
      <c r="Q64" s="42" t="str">
        <f>+IF($Q$5=0,"",'4. '!P70)</f>
        <v/>
      </c>
      <c r="R64" s="42" t="str">
        <f>+IF($R$5=0,"",'4. '!Q70)</f>
        <v/>
      </c>
      <c r="S64" s="42" t="str">
        <f>+IF($S$5=0,"",'4. '!R70)</f>
        <v/>
      </c>
      <c r="T64" s="42" t="str">
        <f>+IF($T$5=0,"",'4. '!S70)</f>
        <v/>
      </c>
      <c r="U64" s="42" t="str">
        <f>+IF($U$5=0,"",'4. '!T70)</f>
        <v/>
      </c>
      <c r="V64" s="42" t="str">
        <f>+IF($V$5=0,"",'4. '!U70)</f>
        <v/>
      </c>
      <c r="W64" s="42" t="str">
        <f>+IF($W$5=0,"",'4. '!V70)</f>
        <v/>
      </c>
      <c r="X64" s="42" t="str">
        <f>+IF($X$5=0,"",'4. '!W70)</f>
        <v/>
      </c>
      <c r="Y64" s="42" t="str">
        <f>+IF($Y$5=0,"",'4. '!X70)</f>
        <v/>
      </c>
      <c r="Z64" s="42" t="str">
        <f>+IF($Z$5=0,"",'4. '!Y70)</f>
        <v/>
      </c>
      <c r="AA64" s="42" t="str">
        <f>+IF($AA$5=0,"",'4. '!Z70)</f>
        <v/>
      </c>
      <c r="AB64" s="42" t="str">
        <f>+IF($AB$5=0,"",'4. '!AA70)</f>
        <v/>
      </c>
      <c r="AC64" s="42" t="str">
        <f>+IF($AC$5=0,"",'4. '!AB70)</f>
        <v/>
      </c>
      <c r="AD64" s="42" t="str">
        <f>+IF($AD$5=0,"",'4. '!AC70)</f>
        <v/>
      </c>
      <c r="AE64" s="42" t="str">
        <f>+IF($AE$5=0,"",'4. '!AD70)</f>
        <v/>
      </c>
      <c r="AF64" s="42" t="str">
        <f>+IF($AF$5=0,"",'4. '!AE70)</f>
        <v/>
      </c>
      <c r="AG64" s="49" t="e">
        <f t="shared" si="0"/>
        <v>#DIV/0!</v>
      </c>
      <c r="AH64" s="6"/>
    </row>
    <row r="65" spans="2:34" x14ac:dyDescent="0.25">
      <c r="B65" s="10" t="s">
        <v>214</v>
      </c>
      <c r="C65" s="42" t="str">
        <f>+IF($C$5=0,"",'4. '!B156)</f>
        <v/>
      </c>
      <c r="D65" s="42" t="str">
        <f>+IF($D$5=0,"",'4. '!C156)</f>
        <v/>
      </c>
      <c r="E65" s="42" t="str">
        <f>+IF($E$5=0,"",'4. '!D156)</f>
        <v/>
      </c>
      <c r="F65" s="42" t="str">
        <f>+IF($F$5=0,"",'4. '!E156)</f>
        <v/>
      </c>
      <c r="G65" s="42" t="str">
        <f>+IF($G$5=0,"",'4. '!F156)</f>
        <v/>
      </c>
      <c r="H65" s="42" t="str">
        <f>+IF($H$5=0,"",'4. '!G156)</f>
        <v/>
      </c>
      <c r="I65" s="42" t="str">
        <f>+IF($I$5=0,"",'4. '!H156)</f>
        <v/>
      </c>
      <c r="J65" s="42" t="str">
        <f>+IF($J$5=0,"",'4. '!I156)</f>
        <v/>
      </c>
      <c r="K65" s="42" t="str">
        <f>+IF($K$5=0,"",'4. '!J156)</f>
        <v/>
      </c>
      <c r="L65" s="42" t="str">
        <f>+IF($L$5=0,"",'4. '!K156)</f>
        <v/>
      </c>
      <c r="M65" s="42" t="str">
        <f>+IF($M$5=0,"",'4. '!L156)</f>
        <v/>
      </c>
      <c r="N65" s="42" t="str">
        <f>+IF($N$5=0,"",'4. '!M156)</f>
        <v/>
      </c>
      <c r="O65" s="42" t="str">
        <f>+IF($O$5=0,"",'4. '!N156)</f>
        <v/>
      </c>
      <c r="P65" s="42" t="str">
        <f>+IF($P$5=0,"",'4. '!O156)</f>
        <v/>
      </c>
      <c r="Q65" s="42" t="str">
        <f>+IF($Q$5=0,"",'4. '!P156)</f>
        <v/>
      </c>
      <c r="R65" s="42" t="str">
        <f>+IF($R$5=0,"",'4. '!Q156)</f>
        <v/>
      </c>
      <c r="S65" s="42" t="str">
        <f>+IF($S$5=0,"",'4. '!R156)</f>
        <v/>
      </c>
      <c r="T65" s="42" t="str">
        <f>+IF($T$5=0,"",'4. '!S156)</f>
        <v/>
      </c>
      <c r="U65" s="42" t="str">
        <f>+IF($U$5=0,"",'4. '!T156)</f>
        <v/>
      </c>
      <c r="V65" s="42" t="str">
        <f>+IF($V$5=0,"",'4. '!U156)</f>
        <v/>
      </c>
      <c r="W65" s="42" t="str">
        <f>+IF($W$5=0,"",'4. '!V156)</f>
        <v/>
      </c>
      <c r="X65" s="42" t="str">
        <f>+IF($X$5=0,"",'4. '!W156)</f>
        <v/>
      </c>
      <c r="Y65" s="42" t="str">
        <f>+IF($Y$5=0,"",'4. '!X156)</f>
        <v/>
      </c>
      <c r="Z65" s="42" t="str">
        <f>+IF($Z$5=0,"",'4. '!Y156)</f>
        <v/>
      </c>
      <c r="AA65" s="42" t="str">
        <f>+IF($AA$5=0,"",'4. '!Z156)</f>
        <v/>
      </c>
      <c r="AB65" s="42" t="str">
        <f>+IF($AB$5=0,"",'4. '!AA156)</f>
        <v/>
      </c>
      <c r="AC65" s="42" t="str">
        <f>+IF($AC$5=0,"",'4. '!AB156)</f>
        <v/>
      </c>
      <c r="AD65" s="42" t="str">
        <f>+IF($AD$5=0,"",'4. '!AC156)</f>
        <v/>
      </c>
      <c r="AE65" s="42" t="str">
        <f>+IF($AE$5=0,"",'4. '!AD156)</f>
        <v/>
      </c>
      <c r="AF65" s="42" t="str">
        <f>+IF($AF$5=0,"",'4. '!AE156)</f>
        <v/>
      </c>
      <c r="AG65" s="49" t="e">
        <f t="shared" si="0"/>
        <v>#DIV/0!</v>
      </c>
      <c r="AH65" s="6"/>
    </row>
    <row r="66" spans="2:34" x14ac:dyDescent="0.25">
      <c r="B66" s="10" t="s">
        <v>211</v>
      </c>
      <c r="C66" s="42" t="str">
        <f>+IF($C$5=0,"",'4. '!B153)</f>
        <v/>
      </c>
      <c r="D66" s="42" t="str">
        <f>+IF($D$5=0,"",'4. '!C153)</f>
        <v/>
      </c>
      <c r="E66" s="42" t="str">
        <f>+IF($E$5=0,"",'4. '!D153)</f>
        <v/>
      </c>
      <c r="F66" s="42" t="str">
        <f>+IF($F$5=0,"",'4. '!E153)</f>
        <v/>
      </c>
      <c r="G66" s="42" t="str">
        <f>+IF($G$5=0,"",'4. '!F153)</f>
        <v/>
      </c>
      <c r="H66" s="42" t="str">
        <f>+IF($H$5=0,"",'4. '!G153)</f>
        <v/>
      </c>
      <c r="I66" s="42" t="str">
        <f>+IF($I$5=0,"",'4. '!H153)</f>
        <v/>
      </c>
      <c r="J66" s="42" t="str">
        <f>+IF($J$5=0,"",'4. '!I153)</f>
        <v/>
      </c>
      <c r="K66" s="42" t="str">
        <f>+IF($K$5=0,"",'4. '!J153)</f>
        <v/>
      </c>
      <c r="L66" s="42" t="str">
        <f>+IF($L$5=0,"",'4. '!K153)</f>
        <v/>
      </c>
      <c r="M66" s="42" t="str">
        <f>+IF($M$5=0,"",'4. '!L153)</f>
        <v/>
      </c>
      <c r="N66" s="42" t="str">
        <f>+IF($N$5=0,"",'4. '!M153)</f>
        <v/>
      </c>
      <c r="O66" s="42" t="str">
        <f>+IF($O$5=0,"",'4. '!N153)</f>
        <v/>
      </c>
      <c r="P66" s="42" t="str">
        <f>+IF($P$5=0,"",'4. '!O153)</f>
        <v/>
      </c>
      <c r="Q66" s="42" t="str">
        <f>+IF($Q$5=0,"",'4. '!P153)</f>
        <v/>
      </c>
      <c r="R66" s="42" t="str">
        <f>+IF($R$5=0,"",'4. '!Q153)</f>
        <v/>
      </c>
      <c r="S66" s="42" t="str">
        <f>+IF($S$5=0,"",'4. '!R153)</f>
        <v/>
      </c>
      <c r="T66" s="42" t="str">
        <f>+IF($T$5=0,"",'4. '!S153)</f>
        <v/>
      </c>
      <c r="U66" s="42" t="str">
        <f>+IF($U$5=0,"",'4. '!T153)</f>
        <v/>
      </c>
      <c r="V66" s="42" t="str">
        <f>+IF($V$5=0,"",'4. '!U153)</f>
        <v/>
      </c>
      <c r="W66" s="42" t="str">
        <f>+IF($W$5=0,"",'4. '!V153)</f>
        <v/>
      </c>
      <c r="X66" s="42" t="str">
        <f>+IF($X$5=0,"",'4. '!W153)</f>
        <v/>
      </c>
      <c r="Y66" s="42" t="str">
        <f>+IF($Y$5=0,"",'4. '!X153)</f>
        <v/>
      </c>
      <c r="Z66" s="42" t="str">
        <f>+IF($Z$5=0,"",'4. '!Y153)</f>
        <v/>
      </c>
      <c r="AA66" s="42" t="str">
        <f>+IF($AA$5=0,"",'4. '!Z153)</f>
        <v/>
      </c>
      <c r="AB66" s="42" t="str">
        <f>+IF($AB$5=0,"",'4. '!AA153)</f>
        <v/>
      </c>
      <c r="AC66" s="42" t="str">
        <f>+IF($AC$5=0,"",'4. '!AB153)</f>
        <v/>
      </c>
      <c r="AD66" s="42" t="str">
        <f>+IF($AD$5=0,"",'4. '!AC153)</f>
        <v/>
      </c>
      <c r="AE66" s="42" t="str">
        <f>+IF($AE$5=0,"",'4. '!AD153)</f>
        <v/>
      </c>
      <c r="AF66" s="42" t="str">
        <f>+IF($AF$5=0,"",'4. '!AE153)</f>
        <v/>
      </c>
      <c r="AG66" s="49" t="e">
        <f t="shared" si="0"/>
        <v>#DIV/0!</v>
      </c>
      <c r="AH66" s="6"/>
    </row>
    <row r="67" spans="2:34" x14ac:dyDescent="0.25">
      <c r="B67" s="10" t="s">
        <v>121</v>
      </c>
      <c r="C67" s="42" t="str">
        <f>+IF($C$5=0,"",'4. '!B75)</f>
        <v/>
      </c>
      <c r="D67" s="42" t="str">
        <f>+IF($D$5=0,"",'4. '!C75)</f>
        <v/>
      </c>
      <c r="E67" s="42" t="str">
        <f>+IF($E$5=0,"",'4. '!D75)</f>
        <v/>
      </c>
      <c r="F67" s="42" t="str">
        <f>+IF($F$5=0,"",'4. '!E75)</f>
        <v/>
      </c>
      <c r="G67" s="42" t="str">
        <f>+IF($G$5=0,"",'4. '!F75)</f>
        <v/>
      </c>
      <c r="H67" s="42" t="str">
        <f>+IF($H$5=0,"",'4. '!G75)</f>
        <v/>
      </c>
      <c r="I67" s="42" t="str">
        <f>+IF($I$5=0,"",'4. '!H75)</f>
        <v/>
      </c>
      <c r="J67" s="42" t="str">
        <f>+IF($J$5=0,"",'4. '!I75)</f>
        <v/>
      </c>
      <c r="K67" s="42" t="str">
        <f>+IF($K$5=0,"",'4. '!J75)</f>
        <v/>
      </c>
      <c r="L67" s="42" t="str">
        <f>+IF($L$5=0,"",'4. '!K75)</f>
        <v/>
      </c>
      <c r="M67" s="42" t="str">
        <f>+IF($M$5=0,"",'4. '!L75)</f>
        <v/>
      </c>
      <c r="N67" s="42" t="str">
        <f>+IF($N$5=0,"",'4. '!M75)</f>
        <v/>
      </c>
      <c r="O67" s="42" t="str">
        <f>+IF($O$5=0,"",'4. '!N75)</f>
        <v/>
      </c>
      <c r="P67" s="42" t="str">
        <f>+IF($P$5=0,"",'4. '!O75)</f>
        <v/>
      </c>
      <c r="Q67" s="42" t="str">
        <f>+IF($Q$5=0,"",'4. '!P75)</f>
        <v/>
      </c>
      <c r="R67" s="42" t="str">
        <f>+IF($R$5=0,"",'4. '!Q75)</f>
        <v/>
      </c>
      <c r="S67" s="42" t="str">
        <f>+IF($S$5=0,"",'4. '!R75)</f>
        <v/>
      </c>
      <c r="T67" s="42" t="str">
        <f>+IF($T$5=0,"",'4. '!S75)</f>
        <v/>
      </c>
      <c r="U67" s="42" t="str">
        <f>+IF($U$5=0,"",'4. '!T75)</f>
        <v/>
      </c>
      <c r="V67" s="42" t="str">
        <f>+IF($V$5=0,"",'4. '!U75)</f>
        <v/>
      </c>
      <c r="W67" s="42" t="str">
        <f>+IF($W$5=0,"",'4. '!V75)</f>
        <v/>
      </c>
      <c r="X67" s="42" t="str">
        <f>+IF($X$5=0,"",'4. '!W75)</f>
        <v/>
      </c>
      <c r="Y67" s="42" t="str">
        <f>+IF($Y$5=0,"",'4. '!X75)</f>
        <v/>
      </c>
      <c r="Z67" s="42" t="str">
        <f>+IF($Z$5=0,"",'4. '!Y75)</f>
        <v/>
      </c>
      <c r="AA67" s="42" t="str">
        <f>+IF($AA$5=0,"",'4. '!Z75)</f>
        <v/>
      </c>
      <c r="AB67" s="42" t="str">
        <f>+IF($AB$5=0,"",'4. '!AA75)</f>
        <v/>
      </c>
      <c r="AC67" s="42" t="str">
        <f>+IF($AC$5=0,"",'4. '!AB75)</f>
        <v/>
      </c>
      <c r="AD67" s="42" t="str">
        <f>+IF($AD$5=0,"",'4. '!AC75)</f>
        <v/>
      </c>
      <c r="AE67" s="42" t="str">
        <f>+IF($AE$5=0,"",'4. '!AD75)</f>
        <v/>
      </c>
      <c r="AF67" s="42" t="str">
        <f>+IF($AF$5=0,"",'4. '!AE75)</f>
        <v/>
      </c>
      <c r="AG67" s="49" t="e">
        <f t="shared" si="0"/>
        <v>#DIV/0!</v>
      </c>
      <c r="AH67" s="6"/>
    </row>
    <row r="68" spans="2:34" x14ac:dyDescent="0.25">
      <c r="B68" s="10" t="s">
        <v>118</v>
      </c>
      <c r="C68" s="42" t="str">
        <f>+IF($C$5=0,"",'4. '!B72)</f>
        <v/>
      </c>
      <c r="D68" s="42" t="str">
        <f>+IF($D$5=0,"",'4. '!C72)</f>
        <v/>
      </c>
      <c r="E68" s="42" t="str">
        <f>+IF($E$5=0,"",'4. '!D72)</f>
        <v/>
      </c>
      <c r="F68" s="42" t="str">
        <f>+IF($F$5=0,"",'4. '!E72)</f>
        <v/>
      </c>
      <c r="G68" s="42" t="str">
        <f>+IF($G$5=0,"",'4. '!F72)</f>
        <v/>
      </c>
      <c r="H68" s="42" t="str">
        <f>+IF($H$5=0,"",'4. '!G72)</f>
        <v/>
      </c>
      <c r="I68" s="42" t="str">
        <f>+IF($I$5=0,"",'4. '!H72)</f>
        <v/>
      </c>
      <c r="J68" s="42" t="str">
        <f>+IF($J$5=0,"",'4. '!I72)</f>
        <v/>
      </c>
      <c r="K68" s="42" t="str">
        <f>+IF($K$5=0,"",'4. '!J72)</f>
        <v/>
      </c>
      <c r="L68" s="42" t="str">
        <f>+IF($L$5=0,"",'4. '!K72)</f>
        <v/>
      </c>
      <c r="M68" s="42" t="str">
        <f>+IF($M$5=0,"",'4. '!L72)</f>
        <v/>
      </c>
      <c r="N68" s="42" t="str">
        <f>+IF($N$5=0,"",'4. '!M72)</f>
        <v/>
      </c>
      <c r="O68" s="42" t="str">
        <f>+IF($O$5=0,"",'4. '!N72)</f>
        <v/>
      </c>
      <c r="P68" s="42" t="str">
        <f>+IF($P$5=0,"",'4. '!O72)</f>
        <v/>
      </c>
      <c r="Q68" s="42" t="str">
        <f>+IF($Q$5=0,"",'4. '!P72)</f>
        <v/>
      </c>
      <c r="R68" s="42" t="str">
        <f>+IF($R$5=0,"",'4. '!Q72)</f>
        <v/>
      </c>
      <c r="S68" s="42" t="str">
        <f>+IF($S$5=0,"",'4. '!R72)</f>
        <v/>
      </c>
      <c r="T68" s="42" t="str">
        <f>+IF($T$5=0,"",'4. '!S72)</f>
        <v/>
      </c>
      <c r="U68" s="42" t="str">
        <f>+IF($U$5=0,"",'4. '!T72)</f>
        <v/>
      </c>
      <c r="V68" s="42" t="str">
        <f>+IF($V$5=0,"",'4. '!U72)</f>
        <v/>
      </c>
      <c r="W68" s="42" t="str">
        <f>+IF($W$5=0,"",'4. '!V72)</f>
        <v/>
      </c>
      <c r="X68" s="42" t="str">
        <f>+IF($X$5=0,"",'4. '!W72)</f>
        <v/>
      </c>
      <c r="Y68" s="42" t="str">
        <f>+IF($Y$5=0,"",'4. '!X72)</f>
        <v/>
      </c>
      <c r="Z68" s="42" t="str">
        <f>+IF($Z$5=0,"",'4. '!Y72)</f>
        <v/>
      </c>
      <c r="AA68" s="42" t="str">
        <f>+IF($AA$5=0,"",'4. '!Z72)</f>
        <v/>
      </c>
      <c r="AB68" s="42" t="str">
        <f>+IF($AB$5=0,"",'4. '!AA72)</f>
        <v/>
      </c>
      <c r="AC68" s="42" t="str">
        <f>+IF($AC$5=0,"",'4. '!AB72)</f>
        <v/>
      </c>
      <c r="AD68" s="42" t="str">
        <f>+IF($AD$5=0,"",'4. '!AC72)</f>
        <v/>
      </c>
      <c r="AE68" s="42" t="str">
        <f>+IF($AE$5=0,"",'4. '!AD72)</f>
        <v/>
      </c>
      <c r="AF68" s="42" t="str">
        <f>+IF($AF$5=0,"",'4. '!AE72)</f>
        <v/>
      </c>
      <c r="AG68" s="49" t="e">
        <f t="shared" si="0"/>
        <v>#DIV/0!</v>
      </c>
      <c r="AH68" s="6"/>
    </row>
    <row r="69" spans="2:34" x14ac:dyDescent="0.25">
      <c r="B69" s="10" t="s">
        <v>198</v>
      </c>
      <c r="C69" s="42" t="str">
        <f>+IF($C$5=0,"",'4. '!B140)</f>
        <v/>
      </c>
      <c r="D69" s="42" t="str">
        <f>+IF($D$5=0,"",'4. '!C140)</f>
        <v/>
      </c>
      <c r="E69" s="42" t="str">
        <f>+IF($E$5=0,"",'4. '!D140)</f>
        <v/>
      </c>
      <c r="F69" s="42" t="str">
        <f>+IF($F$5=0,"",'4. '!E140)</f>
        <v/>
      </c>
      <c r="G69" s="42" t="str">
        <f>+IF($G$5=0,"",'4. '!F140)</f>
        <v/>
      </c>
      <c r="H69" s="42" t="str">
        <f>+IF($H$5=0,"",'4. '!G140)</f>
        <v/>
      </c>
      <c r="I69" s="42" t="str">
        <f>+IF($I$5=0,"",'4. '!H140)</f>
        <v/>
      </c>
      <c r="J69" s="42" t="str">
        <f>+IF($J$5=0,"",'4. '!I140)</f>
        <v/>
      </c>
      <c r="K69" s="42" t="str">
        <f>+IF($K$5=0,"",'4. '!J140)</f>
        <v/>
      </c>
      <c r="L69" s="42" t="str">
        <f>+IF($L$5=0,"",'4. '!K140)</f>
        <v/>
      </c>
      <c r="M69" s="42" t="str">
        <f>+IF($M$5=0,"",'4. '!L140)</f>
        <v/>
      </c>
      <c r="N69" s="42" t="str">
        <f>+IF($N$5=0,"",'4. '!M140)</f>
        <v/>
      </c>
      <c r="O69" s="42" t="str">
        <f>+IF($O$5=0,"",'4. '!N140)</f>
        <v/>
      </c>
      <c r="P69" s="42" t="str">
        <f>+IF($P$5=0,"",'4. '!O140)</f>
        <v/>
      </c>
      <c r="Q69" s="42" t="str">
        <f>+IF($Q$5=0,"",'4. '!P140)</f>
        <v/>
      </c>
      <c r="R69" s="42" t="str">
        <f>+IF($R$5=0,"",'4. '!Q140)</f>
        <v/>
      </c>
      <c r="S69" s="42" t="str">
        <f>+IF($S$5=0,"",'4. '!R140)</f>
        <v/>
      </c>
      <c r="T69" s="42" t="str">
        <f>+IF($T$5=0,"",'4. '!S140)</f>
        <v/>
      </c>
      <c r="U69" s="42" t="str">
        <f>+IF($U$5=0,"",'4. '!T140)</f>
        <v/>
      </c>
      <c r="V69" s="42" t="str">
        <f>+IF($V$5=0,"",'4. '!U140)</f>
        <v/>
      </c>
      <c r="W69" s="42" t="str">
        <f>+IF($W$5=0,"",'4. '!V140)</f>
        <v/>
      </c>
      <c r="X69" s="42" t="str">
        <f>+IF($X$5=0,"",'4. '!W140)</f>
        <v/>
      </c>
      <c r="Y69" s="42" t="str">
        <f>+IF($Y$5=0,"",'4. '!X140)</f>
        <v/>
      </c>
      <c r="Z69" s="42" t="str">
        <f>+IF($Z$5=0,"",'4. '!Y140)</f>
        <v/>
      </c>
      <c r="AA69" s="42" t="str">
        <f>+IF($AA$5=0,"",'4. '!Z140)</f>
        <v/>
      </c>
      <c r="AB69" s="42" t="str">
        <f>+IF($AB$5=0,"",'4. '!AA140)</f>
        <v/>
      </c>
      <c r="AC69" s="42" t="str">
        <f>+IF($AC$5=0,"",'4. '!AB140)</f>
        <v/>
      </c>
      <c r="AD69" s="42" t="str">
        <f>+IF($AD$5=0,"",'4. '!AC140)</f>
        <v/>
      </c>
      <c r="AE69" s="42" t="str">
        <f>+IF($AE$5=0,"",'4. '!AD140)</f>
        <v/>
      </c>
      <c r="AF69" s="42" t="str">
        <f>+IF($AF$5=0,"",'4. '!AE140)</f>
        <v/>
      </c>
      <c r="AG69" s="49" t="e">
        <f t="shared" si="0"/>
        <v>#DIV/0!</v>
      </c>
      <c r="AH69" s="6"/>
    </row>
    <row r="70" spans="2:34" x14ac:dyDescent="0.25">
      <c r="B70" s="10" t="s">
        <v>200</v>
      </c>
      <c r="C70" s="42" t="str">
        <f>+IF($C$5=0,"",'4. '!B142)</f>
        <v/>
      </c>
      <c r="D70" s="42" t="str">
        <f>+IF($D$5=0,"",'4. '!C142)</f>
        <v/>
      </c>
      <c r="E70" s="42" t="str">
        <f>+IF($E$5=0,"",'4. '!D142)</f>
        <v/>
      </c>
      <c r="F70" s="42" t="str">
        <f>+IF($F$5=0,"",'4. '!E142)</f>
        <v/>
      </c>
      <c r="G70" s="42" t="str">
        <f>+IF($G$5=0,"",'4. '!F142)</f>
        <v/>
      </c>
      <c r="H70" s="42" t="str">
        <f>+IF($H$5=0,"",'4. '!G142)</f>
        <v/>
      </c>
      <c r="I70" s="42" t="str">
        <f>+IF($I$5=0,"",'4. '!H142)</f>
        <v/>
      </c>
      <c r="J70" s="42" t="str">
        <f>+IF($J$5=0,"",'4. '!I142)</f>
        <v/>
      </c>
      <c r="K70" s="42" t="str">
        <f>+IF($K$5=0,"",'4. '!J142)</f>
        <v/>
      </c>
      <c r="L70" s="42" t="str">
        <f>+IF($L$5=0,"",'4. '!K142)</f>
        <v/>
      </c>
      <c r="M70" s="42" t="str">
        <f>+IF($M$5=0,"",'4. '!L142)</f>
        <v/>
      </c>
      <c r="N70" s="42" t="str">
        <f>+IF($N$5=0,"",'4. '!M142)</f>
        <v/>
      </c>
      <c r="O70" s="42" t="str">
        <f>+IF($O$5=0,"",'4. '!N142)</f>
        <v/>
      </c>
      <c r="P70" s="42" t="str">
        <f>+IF($P$5=0,"",'4. '!O142)</f>
        <v/>
      </c>
      <c r="Q70" s="42" t="str">
        <f>+IF($Q$5=0,"",'4. '!P142)</f>
        <v/>
      </c>
      <c r="R70" s="42" t="str">
        <f>+IF($R$5=0,"",'4. '!Q142)</f>
        <v/>
      </c>
      <c r="S70" s="42" t="str">
        <f>+IF($S$5=0,"",'4. '!R142)</f>
        <v/>
      </c>
      <c r="T70" s="42" t="str">
        <f>+IF($T$5=0,"",'4. '!S142)</f>
        <v/>
      </c>
      <c r="U70" s="42" t="str">
        <f>+IF($U$5=0,"",'4. '!T142)</f>
        <v/>
      </c>
      <c r="V70" s="42" t="str">
        <f>+IF($V$5=0,"",'4. '!U142)</f>
        <v/>
      </c>
      <c r="W70" s="42" t="str">
        <f>+IF($W$5=0,"",'4. '!V142)</f>
        <v/>
      </c>
      <c r="X70" s="42" t="str">
        <f>+IF($X$5=0,"",'4. '!W142)</f>
        <v/>
      </c>
      <c r="Y70" s="42" t="str">
        <f>+IF($Y$5=0,"",'4. '!X142)</f>
        <v/>
      </c>
      <c r="Z70" s="42" t="str">
        <f>+IF($Z$5=0,"",'4. '!Y142)</f>
        <v/>
      </c>
      <c r="AA70" s="42" t="str">
        <f>+IF($AA$5=0,"",'4. '!Z142)</f>
        <v/>
      </c>
      <c r="AB70" s="42" t="str">
        <f>+IF($AB$5=0,"",'4. '!AA142)</f>
        <v/>
      </c>
      <c r="AC70" s="42" t="str">
        <f>+IF($AC$5=0,"",'4. '!AB142)</f>
        <v/>
      </c>
      <c r="AD70" s="42" t="str">
        <f>+IF($AD$5=0,"",'4. '!AC142)</f>
        <v/>
      </c>
      <c r="AE70" s="42" t="str">
        <f>+IF($AE$5=0,"",'4. '!AD142)</f>
        <v/>
      </c>
      <c r="AF70" s="42" t="str">
        <f>+IF($AF$5=0,"",'4. '!AE142)</f>
        <v/>
      </c>
      <c r="AG70" s="49" t="e">
        <f t="shared" ref="AG70:AG133" si="2">+AVERAGEIF(C70:AF70,"=X",$C$5:$AF$5)</f>
        <v>#DIV/0!</v>
      </c>
      <c r="AH70" s="6"/>
    </row>
    <row r="71" spans="2:34" x14ac:dyDescent="0.25">
      <c r="B71" s="10" t="s">
        <v>205</v>
      </c>
      <c r="C71" s="42" t="str">
        <f>+IF($C$5=0,"",'4. '!B147)</f>
        <v/>
      </c>
      <c r="D71" s="42" t="str">
        <f>+IF($D$5=0,"",'4. '!C147)</f>
        <v/>
      </c>
      <c r="E71" s="42" t="str">
        <f>+IF($E$5=0,"",'4. '!D147)</f>
        <v/>
      </c>
      <c r="F71" s="42" t="str">
        <f>+IF($F$5=0,"",'4. '!E147)</f>
        <v/>
      </c>
      <c r="G71" s="42" t="str">
        <f>+IF($G$5=0,"",'4. '!F147)</f>
        <v/>
      </c>
      <c r="H71" s="42" t="str">
        <f>+IF($H$5=0,"",'4. '!G147)</f>
        <v/>
      </c>
      <c r="I71" s="42" t="str">
        <f>+IF($I$5=0,"",'4. '!H147)</f>
        <v/>
      </c>
      <c r="J71" s="42" t="str">
        <f>+IF($J$5=0,"",'4. '!I147)</f>
        <v/>
      </c>
      <c r="K71" s="42" t="str">
        <f>+IF($K$5=0,"",'4. '!J147)</f>
        <v/>
      </c>
      <c r="L71" s="42" t="str">
        <f>+IF($L$5=0,"",'4. '!K147)</f>
        <v/>
      </c>
      <c r="M71" s="42" t="str">
        <f>+IF($M$5=0,"",'4. '!L147)</f>
        <v/>
      </c>
      <c r="N71" s="42" t="str">
        <f>+IF($N$5=0,"",'4. '!M147)</f>
        <v/>
      </c>
      <c r="O71" s="42" t="str">
        <f>+IF($O$5=0,"",'4. '!N147)</f>
        <v/>
      </c>
      <c r="P71" s="42" t="str">
        <f>+IF($P$5=0,"",'4. '!O147)</f>
        <v/>
      </c>
      <c r="Q71" s="42" t="str">
        <f>+IF($Q$5=0,"",'4. '!P147)</f>
        <v/>
      </c>
      <c r="R71" s="42" t="str">
        <f>+IF($R$5=0,"",'4. '!Q147)</f>
        <v/>
      </c>
      <c r="S71" s="42" t="str">
        <f>+IF($S$5=0,"",'4. '!R147)</f>
        <v/>
      </c>
      <c r="T71" s="42" t="str">
        <f>+IF($T$5=0,"",'4. '!S147)</f>
        <v/>
      </c>
      <c r="U71" s="42" t="str">
        <f>+IF($U$5=0,"",'4. '!T147)</f>
        <v/>
      </c>
      <c r="V71" s="42" t="str">
        <f>+IF($V$5=0,"",'4. '!U147)</f>
        <v/>
      </c>
      <c r="W71" s="42" t="str">
        <f>+IF($W$5=0,"",'4. '!V147)</f>
        <v/>
      </c>
      <c r="X71" s="42" t="str">
        <f>+IF($X$5=0,"",'4. '!W147)</f>
        <v/>
      </c>
      <c r="Y71" s="42" t="str">
        <f>+IF($Y$5=0,"",'4. '!X147)</f>
        <v/>
      </c>
      <c r="Z71" s="42" t="str">
        <f>+IF($Z$5=0,"",'4. '!Y147)</f>
        <v/>
      </c>
      <c r="AA71" s="42" t="str">
        <f>+IF($AA$5=0,"",'4. '!Z147)</f>
        <v/>
      </c>
      <c r="AB71" s="42" t="str">
        <f>+IF($AB$5=0,"",'4. '!AA147)</f>
        <v/>
      </c>
      <c r="AC71" s="42" t="str">
        <f>+IF($AC$5=0,"",'4. '!AB147)</f>
        <v/>
      </c>
      <c r="AD71" s="42" t="str">
        <f>+IF($AD$5=0,"",'4. '!AC147)</f>
        <v/>
      </c>
      <c r="AE71" s="42" t="str">
        <f>+IF($AE$5=0,"",'4. '!AD147)</f>
        <v/>
      </c>
      <c r="AF71" s="42" t="str">
        <f>+IF($AF$5=0,"",'4. '!AE147)</f>
        <v/>
      </c>
      <c r="AG71" s="49" t="e">
        <f t="shared" si="2"/>
        <v>#DIV/0!</v>
      </c>
      <c r="AH71" s="6"/>
    </row>
    <row r="72" spans="2:34" x14ac:dyDescent="0.25">
      <c r="B72" s="10" t="s">
        <v>105</v>
      </c>
      <c r="C72" s="42" t="str">
        <f>+IF($C$5=0,"",'4. '!B59)</f>
        <v/>
      </c>
      <c r="D72" s="42" t="str">
        <f>+IF($D$5=0,"",'4. '!C59)</f>
        <v/>
      </c>
      <c r="E72" s="42" t="str">
        <f>+IF($E$5=0,"",'4. '!D59)</f>
        <v/>
      </c>
      <c r="F72" s="42" t="str">
        <f>+IF($F$5=0,"",'4. '!E59)</f>
        <v/>
      </c>
      <c r="G72" s="42" t="str">
        <f>+IF($G$5=0,"",'4. '!F59)</f>
        <v/>
      </c>
      <c r="H72" s="42" t="str">
        <f>+IF($H$5=0,"",'4. '!G59)</f>
        <v/>
      </c>
      <c r="I72" s="42" t="str">
        <f>+IF($I$5=0,"",'4. '!H59)</f>
        <v/>
      </c>
      <c r="J72" s="42" t="str">
        <f>+IF($J$5=0,"",'4. '!I59)</f>
        <v/>
      </c>
      <c r="K72" s="42" t="str">
        <f>+IF($K$5=0,"",'4. '!J59)</f>
        <v/>
      </c>
      <c r="L72" s="42" t="str">
        <f>+IF($L$5=0,"",'4. '!K59)</f>
        <v/>
      </c>
      <c r="M72" s="42" t="str">
        <f>+IF($M$5=0,"",'4. '!L59)</f>
        <v/>
      </c>
      <c r="N72" s="42" t="str">
        <f>+IF($N$5=0,"",'4. '!M59)</f>
        <v/>
      </c>
      <c r="O72" s="42" t="str">
        <f>+IF($O$5=0,"",'4. '!N59)</f>
        <v/>
      </c>
      <c r="P72" s="42" t="str">
        <f>+IF($P$5=0,"",'4. '!O59)</f>
        <v/>
      </c>
      <c r="Q72" s="42" t="str">
        <f>+IF($Q$5=0,"",'4. '!P59)</f>
        <v/>
      </c>
      <c r="R72" s="42" t="str">
        <f>+IF($R$5=0,"",'4. '!Q59)</f>
        <v/>
      </c>
      <c r="S72" s="42" t="str">
        <f>+IF($S$5=0,"",'4. '!R59)</f>
        <v/>
      </c>
      <c r="T72" s="42" t="str">
        <f>+IF($T$5=0,"",'4. '!S59)</f>
        <v/>
      </c>
      <c r="U72" s="42" t="str">
        <f>+IF($U$5=0,"",'4. '!T59)</f>
        <v/>
      </c>
      <c r="V72" s="42" t="str">
        <f>+IF($V$5=0,"",'4. '!U59)</f>
        <v/>
      </c>
      <c r="W72" s="42" t="str">
        <f>+IF($W$5=0,"",'4. '!V59)</f>
        <v/>
      </c>
      <c r="X72" s="42" t="str">
        <f>+IF($X$5=0,"",'4. '!W59)</f>
        <v/>
      </c>
      <c r="Y72" s="42" t="str">
        <f>+IF($Y$5=0,"",'4. '!X59)</f>
        <v/>
      </c>
      <c r="Z72" s="42" t="str">
        <f>+IF($Z$5=0,"",'4. '!Y59)</f>
        <v/>
      </c>
      <c r="AA72" s="42" t="str">
        <f>+IF($AA$5=0,"",'4. '!Z59)</f>
        <v/>
      </c>
      <c r="AB72" s="42" t="str">
        <f>+IF($AB$5=0,"",'4. '!AA59)</f>
        <v/>
      </c>
      <c r="AC72" s="42" t="str">
        <f>+IF($AC$5=0,"",'4. '!AB59)</f>
        <v/>
      </c>
      <c r="AD72" s="42" t="str">
        <f>+IF($AD$5=0,"",'4. '!AC59)</f>
        <v/>
      </c>
      <c r="AE72" s="42" t="str">
        <f>+IF($AE$5=0,"",'4. '!AD59)</f>
        <v/>
      </c>
      <c r="AF72" s="42" t="str">
        <f>+IF($AF$5=0,"",'4. '!AE59)</f>
        <v/>
      </c>
      <c r="AG72" s="49" t="e">
        <f t="shared" si="2"/>
        <v>#DIV/0!</v>
      </c>
      <c r="AH72" s="6"/>
    </row>
    <row r="73" spans="2:34" x14ac:dyDescent="0.25">
      <c r="B73" s="10" t="s">
        <v>202</v>
      </c>
      <c r="C73" s="42" t="str">
        <f>+IF($C$5=0,"",'4. '!B144)</f>
        <v/>
      </c>
      <c r="D73" s="42" t="str">
        <f>+IF($D$5=0,"",'4. '!C144)</f>
        <v/>
      </c>
      <c r="E73" s="42" t="str">
        <f>+IF($E$5=0,"",'4. '!D144)</f>
        <v/>
      </c>
      <c r="F73" s="42" t="str">
        <f>+IF($F$5=0,"",'4. '!E144)</f>
        <v/>
      </c>
      <c r="G73" s="42" t="str">
        <f>+IF($G$5=0,"",'4. '!F144)</f>
        <v/>
      </c>
      <c r="H73" s="42" t="str">
        <f>+IF($H$5=0,"",'4. '!G144)</f>
        <v/>
      </c>
      <c r="I73" s="42" t="str">
        <f>+IF($I$5=0,"",'4. '!H144)</f>
        <v/>
      </c>
      <c r="J73" s="42" t="str">
        <f>+IF($J$5=0,"",'4. '!I144)</f>
        <v/>
      </c>
      <c r="K73" s="42" t="str">
        <f>+IF($K$5=0,"",'4. '!J144)</f>
        <v/>
      </c>
      <c r="L73" s="42" t="str">
        <f>+IF($L$5=0,"",'4. '!K144)</f>
        <v/>
      </c>
      <c r="M73" s="42" t="str">
        <f>+IF($M$5=0,"",'4. '!L144)</f>
        <v/>
      </c>
      <c r="N73" s="42" t="str">
        <f>+IF($N$5=0,"",'4. '!M144)</f>
        <v/>
      </c>
      <c r="O73" s="42" t="str">
        <f>+IF($O$5=0,"",'4. '!N144)</f>
        <v/>
      </c>
      <c r="P73" s="42" t="str">
        <f>+IF($P$5=0,"",'4. '!O144)</f>
        <v/>
      </c>
      <c r="Q73" s="42" t="str">
        <f>+IF($Q$5=0,"",'4. '!P144)</f>
        <v/>
      </c>
      <c r="R73" s="42" t="str">
        <f>+IF($R$5=0,"",'4. '!Q144)</f>
        <v/>
      </c>
      <c r="S73" s="42" t="str">
        <f>+IF($S$5=0,"",'4. '!R144)</f>
        <v/>
      </c>
      <c r="T73" s="42" t="str">
        <f>+IF($T$5=0,"",'4. '!S144)</f>
        <v/>
      </c>
      <c r="U73" s="42" t="str">
        <f>+IF($U$5=0,"",'4. '!T144)</f>
        <v/>
      </c>
      <c r="V73" s="42" t="str">
        <f>+IF($V$5=0,"",'4. '!U144)</f>
        <v/>
      </c>
      <c r="W73" s="42" t="str">
        <f>+IF($W$5=0,"",'4. '!V144)</f>
        <v/>
      </c>
      <c r="X73" s="42" t="str">
        <f>+IF($X$5=0,"",'4. '!W144)</f>
        <v/>
      </c>
      <c r="Y73" s="42" t="str">
        <f>+IF($Y$5=0,"",'4. '!X144)</f>
        <v/>
      </c>
      <c r="Z73" s="42" t="str">
        <f>+IF($Z$5=0,"",'4. '!Y144)</f>
        <v/>
      </c>
      <c r="AA73" s="42" t="str">
        <f>+IF($AA$5=0,"",'4. '!Z144)</f>
        <v/>
      </c>
      <c r="AB73" s="42" t="str">
        <f>+IF($AB$5=0,"",'4. '!AA144)</f>
        <v/>
      </c>
      <c r="AC73" s="42" t="str">
        <f>+IF($AC$5=0,"",'4. '!AB144)</f>
        <v/>
      </c>
      <c r="AD73" s="42" t="str">
        <f>+IF($AD$5=0,"",'4. '!AC144)</f>
        <v/>
      </c>
      <c r="AE73" s="42" t="str">
        <f>+IF($AE$5=0,"",'4. '!AD144)</f>
        <v/>
      </c>
      <c r="AF73" s="42" t="str">
        <f>+IF($AF$5=0,"",'4. '!AE144)</f>
        <v/>
      </c>
      <c r="AG73" s="49" t="e">
        <f t="shared" si="2"/>
        <v>#DIV/0!</v>
      </c>
      <c r="AH73" s="6"/>
    </row>
    <row r="74" spans="2:34" x14ac:dyDescent="0.25">
      <c r="B74" s="10" t="s">
        <v>107</v>
      </c>
      <c r="C74" s="42" t="str">
        <f>+IF($C$5=0,"",'4. '!B61)</f>
        <v/>
      </c>
      <c r="D74" s="42" t="str">
        <f>+IF($D$5=0,"",'4. '!C61)</f>
        <v/>
      </c>
      <c r="E74" s="42" t="str">
        <f>+IF($E$5=0,"",'4. '!D61)</f>
        <v/>
      </c>
      <c r="F74" s="42" t="str">
        <f>+IF($F$5=0,"",'4. '!E61)</f>
        <v/>
      </c>
      <c r="G74" s="42" t="str">
        <f>+IF($G$5=0,"",'4. '!F61)</f>
        <v/>
      </c>
      <c r="H74" s="42" t="str">
        <f>+IF($H$5=0,"",'4. '!G61)</f>
        <v/>
      </c>
      <c r="I74" s="42" t="str">
        <f>+IF($I$5=0,"",'4. '!H61)</f>
        <v/>
      </c>
      <c r="J74" s="42" t="str">
        <f>+IF($J$5=0,"",'4. '!I61)</f>
        <v/>
      </c>
      <c r="K74" s="42" t="str">
        <f>+IF($K$5=0,"",'4. '!J61)</f>
        <v/>
      </c>
      <c r="L74" s="42" t="str">
        <f>+IF($L$5=0,"",'4. '!K61)</f>
        <v/>
      </c>
      <c r="M74" s="42" t="str">
        <f>+IF($M$5=0,"",'4. '!L61)</f>
        <v/>
      </c>
      <c r="N74" s="42" t="str">
        <f>+IF($N$5=0,"",'4. '!M61)</f>
        <v/>
      </c>
      <c r="O74" s="42" t="str">
        <f>+IF($O$5=0,"",'4. '!N61)</f>
        <v/>
      </c>
      <c r="P74" s="42" t="str">
        <f>+IF($P$5=0,"",'4. '!O61)</f>
        <v/>
      </c>
      <c r="Q74" s="42" t="str">
        <f>+IF($Q$5=0,"",'4. '!P61)</f>
        <v/>
      </c>
      <c r="R74" s="42" t="str">
        <f>+IF($R$5=0,"",'4. '!Q61)</f>
        <v/>
      </c>
      <c r="S74" s="42" t="str">
        <f>+IF($S$5=0,"",'4. '!R61)</f>
        <v/>
      </c>
      <c r="T74" s="42" t="str">
        <f>+IF($T$5=0,"",'4. '!S61)</f>
        <v/>
      </c>
      <c r="U74" s="42" t="str">
        <f>+IF($U$5=0,"",'4. '!T61)</f>
        <v/>
      </c>
      <c r="V74" s="42" t="str">
        <f>+IF($V$5=0,"",'4. '!U61)</f>
        <v/>
      </c>
      <c r="W74" s="42" t="str">
        <f>+IF($W$5=0,"",'4. '!V61)</f>
        <v/>
      </c>
      <c r="X74" s="42" t="str">
        <f>+IF($X$5=0,"",'4. '!W61)</f>
        <v/>
      </c>
      <c r="Y74" s="42" t="str">
        <f>+IF($Y$5=0,"",'4. '!X61)</f>
        <v/>
      </c>
      <c r="Z74" s="42" t="str">
        <f>+IF($Z$5=0,"",'4. '!Y61)</f>
        <v/>
      </c>
      <c r="AA74" s="42" t="str">
        <f>+IF($AA$5=0,"",'4. '!Z61)</f>
        <v/>
      </c>
      <c r="AB74" s="42" t="str">
        <f>+IF($AB$5=0,"",'4. '!AA61)</f>
        <v/>
      </c>
      <c r="AC74" s="42" t="str">
        <f>+IF($AC$5=0,"",'4. '!AB61)</f>
        <v/>
      </c>
      <c r="AD74" s="42" t="str">
        <f>+IF($AD$5=0,"",'4. '!AC61)</f>
        <v/>
      </c>
      <c r="AE74" s="42" t="str">
        <f>+IF($AE$5=0,"",'4. '!AD61)</f>
        <v/>
      </c>
      <c r="AF74" s="42" t="str">
        <f>+IF($AF$5=0,"",'4. '!AE61)</f>
        <v/>
      </c>
      <c r="AG74" s="49" t="e">
        <f t="shared" si="2"/>
        <v>#DIV/0!</v>
      </c>
      <c r="AH74" s="6"/>
    </row>
    <row r="75" spans="2:34" x14ac:dyDescent="0.25">
      <c r="B75" s="10" t="s">
        <v>112</v>
      </c>
      <c r="C75" s="42" t="str">
        <f>+IF($C$5=0,"",'4. '!B66)</f>
        <v/>
      </c>
      <c r="D75" s="42" t="str">
        <f>+IF($D$5=0,"",'4. '!C66)</f>
        <v/>
      </c>
      <c r="E75" s="42" t="str">
        <f>+IF($E$5=0,"",'4. '!D66)</f>
        <v/>
      </c>
      <c r="F75" s="42" t="str">
        <f>+IF($F$5=0,"",'4. '!E66)</f>
        <v/>
      </c>
      <c r="G75" s="42" t="str">
        <f>+IF($G$5=0,"",'4. '!F66)</f>
        <v/>
      </c>
      <c r="H75" s="42" t="str">
        <f>+IF($H$5=0,"",'4. '!G66)</f>
        <v/>
      </c>
      <c r="I75" s="42" t="str">
        <f>+IF($I$5=0,"",'4. '!H66)</f>
        <v/>
      </c>
      <c r="J75" s="42" t="str">
        <f>+IF($J$5=0,"",'4. '!I66)</f>
        <v/>
      </c>
      <c r="K75" s="42" t="str">
        <f>+IF($K$5=0,"",'4. '!J66)</f>
        <v/>
      </c>
      <c r="L75" s="42" t="str">
        <f>+IF($L$5=0,"",'4. '!K66)</f>
        <v/>
      </c>
      <c r="M75" s="42" t="str">
        <f>+IF($M$5=0,"",'4. '!L66)</f>
        <v/>
      </c>
      <c r="N75" s="42" t="str">
        <f>+IF($N$5=0,"",'4. '!M66)</f>
        <v/>
      </c>
      <c r="O75" s="42" t="str">
        <f>+IF($O$5=0,"",'4. '!N66)</f>
        <v/>
      </c>
      <c r="P75" s="42" t="str">
        <f>+IF($P$5=0,"",'4. '!O66)</f>
        <v/>
      </c>
      <c r="Q75" s="42" t="str">
        <f>+IF($Q$5=0,"",'4. '!P66)</f>
        <v/>
      </c>
      <c r="R75" s="42" t="str">
        <f>+IF($R$5=0,"",'4. '!Q66)</f>
        <v/>
      </c>
      <c r="S75" s="42" t="str">
        <f>+IF($S$5=0,"",'4. '!R66)</f>
        <v/>
      </c>
      <c r="T75" s="42" t="str">
        <f>+IF($T$5=0,"",'4. '!S66)</f>
        <v/>
      </c>
      <c r="U75" s="42" t="str">
        <f>+IF($U$5=0,"",'4. '!T66)</f>
        <v/>
      </c>
      <c r="V75" s="42" t="str">
        <f>+IF($V$5=0,"",'4. '!U66)</f>
        <v/>
      </c>
      <c r="W75" s="42" t="str">
        <f>+IF($W$5=0,"",'4. '!V66)</f>
        <v/>
      </c>
      <c r="X75" s="42" t="str">
        <f>+IF($X$5=0,"",'4. '!W66)</f>
        <v/>
      </c>
      <c r="Y75" s="42" t="str">
        <f>+IF($Y$5=0,"",'4. '!X66)</f>
        <v/>
      </c>
      <c r="Z75" s="42" t="str">
        <f>+IF($Z$5=0,"",'4. '!Y66)</f>
        <v/>
      </c>
      <c r="AA75" s="42" t="str">
        <f>+IF($AA$5=0,"",'4. '!Z66)</f>
        <v/>
      </c>
      <c r="AB75" s="42" t="str">
        <f>+IF($AB$5=0,"",'4. '!AA66)</f>
        <v/>
      </c>
      <c r="AC75" s="42" t="str">
        <f>+IF($AC$5=0,"",'4. '!AB66)</f>
        <v/>
      </c>
      <c r="AD75" s="42" t="str">
        <f>+IF($AD$5=0,"",'4. '!AC66)</f>
        <v/>
      </c>
      <c r="AE75" s="42" t="str">
        <f>+IF($AE$5=0,"",'4. '!AD66)</f>
        <v/>
      </c>
      <c r="AF75" s="42" t="str">
        <f>+IF($AF$5=0,"",'4. '!AE66)</f>
        <v/>
      </c>
      <c r="AG75" s="49" t="e">
        <f t="shared" si="2"/>
        <v>#DIV/0!</v>
      </c>
      <c r="AH75" s="6"/>
    </row>
    <row r="76" spans="2:34" x14ac:dyDescent="0.25">
      <c r="B76" s="10" t="s">
        <v>109</v>
      </c>
      <c r="C76" s="42" t="str">
        <f>+IF($C$5=0,"",'4. '!B63)</f>
        <v/>
      </c>
      <c r="D76" s="42" t="str">
        <f>+IF($D$5=0,"",'4. '!C63)</f>
        <v/>
      </c>
      <c r="E76" s="42" t="str">
        <f>+IF($E$5=0,"",'4. '!D63)</f>
        <v/>
      </c>
      <c r="F76" s="42" t="str">
        <f>+IF($F$5=0,"",'4. '!E63)</f>
        <v/>
      </c>
      <c r="G76" s="42" t="str">
        <f>+IF($G$5=0,"",'4. '!F63)</f>
        <v/>
      </c>
      <c r="H76" s="42" t="str">
        <f>+IF($H$5=0,"",'4. '!G63)</f>
        <v/>
      </c>
      <c r="I76" s="42" t="str">
        <f>+IF($I$5=0,"",'4. '!H63)</f>
        <v/>
      </c>
      <c r="J76" s="42" t="str">
        <f>+IF($J$5=0,"",'4. '!I63)</f>
        <v/>
      </c>
      <c r="K76" s="42" t="str">
        <f>+IF($K$5=0,"",'4. '!J63)</f>
        <v/>
      </c>
      <c r="L76" s="42" t="str">
        <f>+IF($L$5=0,"",'4. '!K63)</f>
        <v/>
      </c>
      <c r="M76" s="42" t="str">
        <f>+IF($M$5=0,"",'4. '!L63)</f>
        <v/>
      </c>
      <c r="N76" s="42" t="str">
        <f>+IF($N$5=0,"",'4. '!M63)</f>
        <v/>
      </c>
      <c r="O76" s="42" t="str">
        <f>+IF($O$5=0,"",'4. '!N63)</f>
        <v/>
      </c>
      <c r="P76" s="42" t="str">
        <f>+IF($P$5=0,"",'4. '!O63)</f>
        <v/>
      </c>
      <c r="Q76" s="42" t="str">
        <f>+IF($Q$5=0,"",'4. '!P63)</f>
        <v/>
      </c>
      <c r="R76" s="42" t="str">
        <f>+IF($R$5=0,"",'4. '!Q63)</f>
        <v/>
      </c>
      <c r="S76" s="42" t="str">
        <f>+IF($S$5=0,"",'4. '!R63)</f>
        <v/>
      </c>
      <c r="T76" s="42" t="str">
        <f>+IF($T$5=0,"",'4. '!S63)</f>
        <v/>
      </c>
      <c r="U76" s="42" t="str">
        <f>+IF($U$5=0,"",'4. '!T63)</f>
        <v/>
      </c>
      <c r="V76" s="42" t="str">
        <f>+IF($V$5=0,"",'4. '!U63)</f>
        <v/>
      </c>
      <c r="W76" s="42" t="str">
        <f>+IF($W$5=0,"",'4. '!V63)</f>
        <v/>
      </c>
      <c r="X76" s="42" t="str">
        <f>+IF($X$5=0,"",'4. '!W63)</f>
        <v/>
      </c>
      <c r="Y76" s="42" t="str">
        <f>+IF($Y$5=0,"",'4. '!X63)</f>
        <v/>
      </c>
      <c r="Z76" s="42" t="str">
        <f>+IF($Z$5=0,"",'4. '!Y63)</f>
        <v/>
      </c>
      <c r="AA76" s="42" t="str">
        <f>+IF($AA$5=0,"",'4. '!Z63)</f>
        <v/>
      </c>
      <c r="AB76" s="42" t="str">
        <f>+IF($AB$5=0,"",'4. '!AA63)</f>
        <v/>
      </c>
      <c r="AC76" s="42" t="str">
        <f>+IF($AC$5=0,"",'4. '!AB63)</f>
        <v/>
      </c>
      <c r="AD76" s="42" t="str">
        <f>+IF($AD$5=0,"",'4. '!AC63)</f>
        <v/>
      </c>
      <c r="AE76" s="42" t="str">
        <f>+IF($AE$5=0,"",'4. '!AD63)</f>
        <v/>
      </c>
      <c r="AF76" s="42" t="str">
        <f>+IF($AF$5=0,"",'4. '!AE63)</f>
        <v/>
      </c>
      <c r="AG76" s="49" t="e">
        <f t="shared" si="2"/>
        <v>#DIV/0!</v>
      </c>
      <c r="AH76" s="6"/>
    </row>
    <row r="77" spans="2:34" x14ac:dyDescent="0.25">
      <c r="B77" s="10" t="s">
        <v>270</v>
      </c>
      <c r="C77" s="42" t="str">
        <f>+IF($C$5=0,"",'4. '!B212)</f>
        <v/>
      </c>
      <c r="D77" s="42" t="str">
        <f>+IF($D$5=0,"",'4. '!C212)</f>
        <v/>
      </c>
      <c r="E77" s="42" t="str">
        <f>+IF($E$5=0,"",'4. '!D212)</f>
        <v/>
      </c>
      <c r="F77" s="42" t="str">
        <f>+IF($F$5=0,"",'4. '!E212)</f>
        <v/>
      </c>
      <c r="G77" s="42" t="str">
        <f>+IF($G$5=0,"",'4. '!F212)</f>
        <v/>
      </c>
      <c r="H77" s="42" t="str">
        <f>+IF($H$5=0,"",'4. '!G212)</f>
        <v/>
      </c>
      <c r="I77" s="42" t="str">
        <f>+IF($I$5=0,"",'4. '!H212)</f>
        <v/>
      </c>
      <c r="J77" s="42" t="str">
        <f>+IF($J$5=0,"",'4. '!I212)</f>
        <v/>
      </c>
      <c r="K77" s="42" t="str">
        <f>+IF($K$5=0,"",'4. '!J212)</f>
        <v/>
      </c>
      <c r="L77" s="42" t="str">
        <f>+IF($L$5=0,"",'4. '!K212)</f>
        <v/>
      </c>
      <c r="M77" s="42" t="str">
        <f>+IF($M$5=0,"",'4. '!L212)</f>
        <v/>
      </c>
      <c r="N77" s="42" t="str">
        <f>+IF($N$5=0,"",'4. '!M212)</f>
        <v/>
      </c>
      <c r="O77" s="42" t="str">
        <f>+IF($O$5=0,"",'4. '!N212)</f>
        <v/>
      </c>
      <c r="P77" s="42" t="str">
        <f>+IF($P$5=0,"",'4. '!O212)</f>
        <v/>
      </c>
      <c r="Q77" s="42" t="str">
        <f>+IF($Q$5=0,"",'4. '!P212)</f>
        <v/>
      </c>
      <c r="R77" s="42" t="str">
        <f>+IF($R$5=0,"",'4. '!Q212)</f>
        <v/>
      </c>
      <c r="S77" s="42" t="str">
        <f>+IF($S$5=0,"",'4. '!R212)</f>
        <v/>
      </c>
      <c r="T77" s="42" t="str">
        <f>+IF($T$5=0,"",'4. '!S212)</f>
        <v/>
      </c>
      <c r="U77" s="42" t="str">
        <f>+IF($U$5=0,"",'4. '!T212)</f>
        <v/>
      </c>
      <c r="V77" s="42" t="str">
        <f>+IF($V$5=0,"",'4. '!U212)</f>
        <v/>
      </c>
      <c r="W77" s="42" t="str">
        <f>+IF($W$5=0,"",'4. '!V212)</f>
        <v/>
      </c>
      <c r="X77" s="42" t="str">
        <f>+IF($X$5=0,"",'4. '!W212)</f>
        <v/>
      </c>
      <c r="Y77" s="42" t="str">
        <f>+IF($Y$5=0,"",'4. '!X212)</f>
        <v/>
      </c>
      <c r="Z77" s="42" t="str">
        <f>+IF($Z$5=0,"",'4. '!Y212)</f>
        <v/>
      </c>
      <c r="AA77" s="42" t="str">
        <f>+IF($AA$5=0,"",'4. '!Z212)</f>
        <v/>
      </c>
      <c r="AB77" s="42" t="str">
        <f>+IF($AB$5=0,"",'4. '!AA212)</f>
        <v/>
      </c>
      <c r="AC77" s="42" t="str">
        <f>+IF($AC$5=0,"",'4. '!AB212)</f>
        <v/>
      </c>
      <c r="AD77" s="42" t="str">
        <f>+IF($AD$5=0,"",'4. '!AC212)</f>
        <v/>
      </c>
      <c r="AE77" s="42" t="str">
        <f>+IF($AE$5=0,"",'4. '!AD212)</f>
        <v/>
      </c>
      <c r="AF77" s="42" t="str">
        <f>+IF($AF$5=0,"",'4. '!AE212)</f>
        <v/>
      </c>
      <c r="AG77" s="49" t="e">
        <f t="shared" si="2"/>
        <v>#DIV/0!</v>
      </c>
      <c r="AH77" s="6"/>
    </row>
    <row r="78" spans="2:34" x14ac:dyDescent="0.25">
      <c r="B78" s="10" t="s">
        <v>272</v>
      </c>
      <c r="C78" s="42" t="str">
        <f>+IF($C$5=0,"",'4. '!B214)</f>
        <v/>
      </c>
      <c r="D78" s="42" t="str">
        <f>+IF($D$5=0,"",'4. '!C214)</f>
        <v/>
      </c>
      <c r="E78" s="42" t="str">
        <f>+IF($E$5=0,"",'4. '!D214)</f>
        <v/>
      </c>
      <c r="F78" s="42" t="str">
        <f>+IF($F$5=0,"",'4. '!E214)</f>
        <v/>
      </c>
      <c r="G78" s="42" t="str">
        <f>+IF($G$5=0,"",'4. '!F214)</f>
        <v/>
      </c>
      <c r="H78" s="42" t="str">
        <f>+IF($H$5=0,"",'4. '!G214)</f>
        <v/>
      </c>
      <c r="I78" s="42" t="str">
        <f>+IF($I$5=0,"",'4. '!H214)</f>
        <v/>
      </c>
      <c r="J78" s="42" t="str">
        <f>+IF($J$5=0,"",'4. '!I214)</f>
        <v/>
      </c>
      <c r="K78" s="42" t="str">
        <f>+IF($K$5=0,"",'4. '!J214)</f>
        <v/>
      </c>
      <c r="L78" s="42" t="str">
        <f>+IF($L$5=0,"",'4. '!K214)</f>
        <v/>
      </c>
      <c r="M78" s="42" t="str">
        <f>+IF($M$5=0,"",'4. '!L214)</f>
        <v/>
      </c>
      <c r="N78" s="42" t="str">
        <f>+IF($N$5=0,"",'4. '!M214)</f>
        <v/>
      </c>
      <c r="O78" s="42" t="str">
        <f>+IF($O$5=0,"",'4. '!N214)</f>
        <v/>
      </c>
      <c r="P78" s="42" t="str">
        <f>+IF($P$5=0,"",'4. '!O214)</f>
        <v/>
      </c>
      <c r="Q78" s="42" t="str">
        <f>+IF($Q$5=0,"",'4. '!P214)</f>
        <v/>
      </c>
      <c r="R78" s="42" t="str">
        <f>+IF($R$5=0,"",'4. '!Q214)</f>
        <v/>
      </c>
      <c r="S78" s="42" t="str">
        <f>+IF($S$5=0,"",'4. '!R214)</f>
        <v/>
      </c>
      <c r="T78" s="42" t="str">
        <f>+IF($T$5=0,"",'4. '!S214)</f>
        <v/>
      </c>
      <c r="U78" s="42" t="str">
        <f>+IF($U$5=0,"",'4. '!T214)</f>
        <v/>
      </c>
      <c r="V78" s="42" t="str">
        <f>+IF($V$5=0,"",'4. '!U214)</f>
        <v/>
      </c>
      <c r="W78" s="42" t="str">
        <f>+IF($W$5=0,"",'4. '!V214)</f>
        <v/>
      </c>
      <c r="X78" s="42" t="str">
        <f>+IF($X$5=0,"",'4. '!W214)</f>
        <v/>
      </c>
      <c r="Y78" s="42" t="str">
        <f>+IF($Y$5=0,"",'4. '!X214)</f>
        <v/>
      </c>
      <c r="Z78" s="42" t="str">
        <f>+IF($Z$5=0,"",'4. '!Y214)</f>
        <v/>
      </c>
      <c r="AA78" s="42" t="str">
        <f>+IF($AA$5=0,"",'4. '!Z214)</f>
        <v/>
      </c>
      <c r="AB78" s="42" t="str">
        <f>+IF($AB$5=0,"",'4. '!AA214)</f>
        <v/>
      </c>
      <c r="AC78" s="42" t="str">
        <f>+IF($AC$5=0,"",'4. '!AB214)</f>
        <v/>
      </c>
      <c r="AD78" s="42" t="str">
        <f>+IF($AD$5=0,"",'4. '!AC214)</f>
        <v/>
      </c>
      <c r="AE78" s="42" t="str">
        <f>+IF($AE$5=0,"",'4. '!AD214)</f>
        <v/>
      </c>
      <c r="AF78" s="42" t="str">
        <f>+IF($AF$5=0,"",'4. '!AE214)</f>
        <v/>
      </c>
      <c r="AG78" s="49" t="e">
        <f t="shared" si="2"/>
        <v>#DIV/0!</v>
      </c>
      <c r="AH78" s="6"/>
    </row>
    <row r="79" spans="2:34" x14ac:dyDescent="0.25">
      <c r="B79" s="10" t="s">
        <v>277</v>
      </c>
      <c r="C79" s="42" t="str">
        <f>+IF($C$5=0,"",'4. '!B219)</f>
        <v/>
      </c>
      <c r="D79" s="42" t="str">
        <f>+IF($D$5=0,"",'4. '!C219)</f>
        <v/>
      </c>
      <c r="E79" s="42" t="str">
        <f>+IF($E$5=0,"",'4. '!D219)</f>
        <v/>
      </c>
      <c r="F79" s="42" t="str">
        <f>+IF($F$5=0,"",'4. '!E219)</f>
        <v/>
      </c>
      <c r="G79" s="42" t="str">
        <f>+IF($G$5=0,"",'4. '!F219)</f>
        <v/>
      </c>
      <c r="H79" s="42" t="str">
        <f>+IF($H$5=0,"",'4. '!G219)</f>
        <v/>
      </c>
      <c r="I79" s="42" t="str">
        <f>+IF($I$5=0,"",'4. '!H219)</f>
        <v/>
      </c>
      <c r="J79" s="42" t="str">
        <f>+IF($J$5=0,"",'4. '!I219)</f>
        <v/>
      </c>
      <c r="K79" s="42" t="str">
        <f>+IF($K$5=0,"",'4. '!J219)</f>
        <v/>
      </c>
      <c r="L79" s="42" t="str">
        <f>+IF($L$5=0,"",'4. '!K219)</f>
        <v/>
      </c>
      <c r="M79" s="42" t="str">
        <f>+IF($M$5=0,"",'4. '!L219)</f>
        <v/>
      </c>
      <c r="N79" s="42" t="str">
        <f>+IF($N$5=0,"",'4. '!M219)</f>
        <v/>
      </c>
      <c r="O79" s="42" t="str">
        <f>+IF($O$5=0,"",'4. '!N219)</f>
        <v/>
      </c>
      <c r="P79" s="42" t="str">
        <f>+IF($P$5=0,"",'4. '!O219)</f>
        <v/>
      </c>
      <c r="Q79" s="42" t="str">
        <f>+IF($Q$5=0,"",'4. '!P219)</f>
        <v/>
      </c>
      <c r="R79" s="42" t="str">
        <f>+IF($R$5=0,"",'4. '!Q219)</f>
        <v/>
      </c>
      <c r="S79" s="42" t="str">
        <f>+IF($S$5=0,"",'4. '!R219)</f>
        <v/>
      </c>
      <c r="T79" s="42" t="str">
        <f>+IF($T$5=0,"",'4. '!S219)</f>
        <v/>
      </c>
      <c r="U79" s="42" t="str">
        <f>+IF($U$5=0,"",'4. '!T219)</f>
        <v/>
      </c>
      <c r="V79" s="42" t="str">
        <f>+IF($V$5=0,"",'4. '!U219)</f>
        <v/>
      </c>
      <c r="W79" s="42" t="str">
        <f>+IF($W$5=0,"",'4. '!V219)</f>
        <v/>
      </c>
      <c r="X79" s="42" t="str">
        <f>+IF($X$5=0,"",'4. '!W219)</f>
        <v/>
      </c>
      <c r="Y79" s="42" t="str">
        <f>+IF($Y$5=0,"",'4. '!X219)</f>
        <v/>
      </c>
      <c r="Z79" s="42" t="str">
        <f>+IF($Z$5=0,"",'4. '!Y219)</f>
        <v/>
      </c>
      <c r="AA79" s="42" t="str">
        <f>+IF($AA$5=0,"",'4. '!Z219)</f>
        <v/>
      </c>
      <c r="AB79" s="42" t="str">
        <f>+IF($AB$5=0,"",'4. '!AA219)</f>
        <v/>
      </c>
      <c r="AC79" s="42" t="str">
        <f>+IF($AC$5=0,"",'4. '!AB219)</f>
        <v/>
      </c>
      <c r="AD79" s="42" t="str">
        <f>+IF($AD$5=0,"",'4. '!AC219)</f>
        <v/>
      </c>
      <c r="AE79" s="42" t="str">
        <f>+IF($AE$5=0,"",'4. '!AD219)</f>
        <v/>
      </c>
      <c r="AF79" s="42" t="str">
        <f>+IF($AF$5=0,"",'4. '!AE219)</f>
        <v/>
      </c>
      <c r="AG79" s="49" t="e">
        <f t="shared" si="2"/>
        <v>#DIV/0!</v>
      </c>
      <c r="AH79" s="6"/>
    </row>
    <row r="80" spans="2:34" x14ac:dyDescent="0.25">
      <c r="B80" s="10" t="s">
        <v>274</v>
      </c>
      <c r="C80" s="42" t="str">
        <f>+IF($C$5=0,"",'4. '!B216)</f>
        <v/>
      </c>
      <c r="D80" s="42" t="str">
        <f>+IF($D$5=0,"",'4. '!C216)</f>
        <v/>
      </c>
      <c r="E80" s="42" t="str">
        <f>+IF($E$5=0,"",'4. '!D216)</f>
        <v/>
      </c>
      <c r="F80" s="42" t="str">
        <f>+IF($F$5=0,"",'4. '!E216)</f>
        <v/>
      </c>
      <c r="G80" s="42" t="str">
        <f>+IF($G$5=0,"",'4. '!F216)</f>
        <v/>
      </c>
      <c r="H80" s="42" t="str">
        <f>+IF($H$5=0,"",'4. '!G216)</f>
        <v/>
      </c>
      <c r="I80" s="42" t="str">
        <f>+IF($I$5=0,"",'4. '!H216)</f>
        <v/>
      </c>
      <c r="J80" s="42" t="str">
        <f>+IF($J$5=0,"",'4. '!I216)</f>
        <v/>
      </c>
      <c r="K80" s="42" t="str">
        <f>+IF($K$5=0,"",'4. '!J216)</f>
        <v/>
      </c>
      <c r="L80" s="42" t="str">
        <f>+IF($L$5=0,"",'4. '!K216)</f>
        <v/>
      </c>
      <c r="M80" s="42" t="str">
        <f>+IF($M$5=0,"",'4. '!L216)</f>
        <v/>
      </c>
      <c r="N80" s="42" t="str">
        <f>+IF($N$5=0,"",'4. '!M216)</f>
        <v/>
      </c>
      <c r="O80" s="42" t="str">
        <f>+IF($O$5=0,"",'4. '!N216)</f>
        <v/>
      </c>
      <c r="P80" s="42" t="str">
        <f>+IF($P$5=0,"",'4. '!O216)</f>
        <v/>
      </c>
      <c r="Q80" s="42" t="str">
        <f>+IF($Q$5=0,"",'4. '!P216)</f>
        <v/>
      </c>
      <c r="R80" s="42" t="str">
        <f>+IF($R$5=0,"",'4. '!Q216)</f>
        <v/>
      </c>
      <c r="S80" s="42" t="str">
        <f>+IF($S$5=0,"",'4. '!R216)</f>
        <v/>
      </c>
      <c r="T80" s="42" t="str">
        <f>+IF($T$5=0,"",'4. '!S216)</f>
        <v/>
      </c>
      <c r="U80" s="42" t="str">
        <f>+IF($U$5=0,"",'4. '!T216)</f>
        <v/>
      </c>
      <c r="V80" s="42" t="str">
        <f>+IF($V$5=0,"",'4. '!U216)</f>
        <v/>
      </c>
      <c r="W80" s="42" t="str">
        <f>+IF($W$5=0,"",'4. '!V216)</f>
        <v/>
      </c>
      <c r="X80" s="42" t="str">
        <f>+IF($X$5=0,"",'4. '!W216)</f>
        <v/>
      </c>
      <c r="Y80" s="42" t="str">
        <f>+IF($Y$5=0,"",'4. '!X216)</f>
        <v/>
      </c>
      <c r="Z80" s="42" t="str">
        <f>+IF($Z$5=0,"",'4. '!Y216)</f>
        <v/>
      </c>
      <c r="AA80" s="42" t="str">
        <f>+IF($AA$5=0,"",'4. '!Z216)</f>
        <v/>
      </c>
      <c r="AB80" s="42" t="str">
        <f>+IF($AB$5=0,"",'4. '!AA216)</f>
        <v/>
      </c>
      <c r="AC80" s="42" t="str">
        <f>+IF($AC$5=0,"",'4. '!AB216)</f>
        <v/>
      </c>
      <c r="AD80" s="42" t="str">
        <f>+IF($AD$5=0,"",'4. '!AC216)</f>
        <v/>
      </c>
      <c r="AE80" s="42" t="str">
        <f>+IF($AE$5=0,"",'4. '!AD216)</f>
        <v/>
      </c>
      <c r="AF80" s="42" t="str">
        <f>+IF($AF$5=0,"",'4. '!AE216)</f>
        <v/>
      </c>
      <c r="AG80" s="49" t="e">
        <f t="shared" si="2"/>
        <v>#DIV/0!</v>
      </c>
      <c r="AH80" s="6"/>
    </row>
    <row r="81" spans="2:34" x14ac:dyDescent="0.25">
      <c r="B81" s="10" t="s">
        <v>267</v>
      </c>
      <c r="C81" s="42" t="str">
        <f>+IF($C$5=0,"",'4. '!B209)</f>
        <v/>
      </c>
      <c r="D81" s="42" t="str">
        <f>+IF($D$5=0,"",'4. '!C209)</f>
        <v/>
      </c>
      <c r="E81" s="42" t="str">
        <f>+IF($E$5=0,"",'4. '!D209)</f>
        <v/>
      </c>
      <c r="F81" s="42" t="str">
        <f>+IF($F$5=0,"",'4. '!E209)</f>
        <v/>
      </c>
      <c r="G81" s="42" t="str">
        <f>+IF($G$5=0,"",'4. '!F209)</f>
        <v/>
      </c>
      <c r="H81" s="42" t="str">
        <f>+IF($H$5=0,"",'4. '!G209)</f>
        <v/>
      </c>
      <c r="I81" s="42" t="str">
        <f>+IF($I$5=0,"",'4. '!H209)</f>
        <v/>
      </c>
      <c r="J81" s="42" t="str">
        <f>+IF($J$5=0,"",'4. '!I209)</f>
        <v/>
      </c>
      <c r="K81" s="42" t="str">
        <f>+IF($K$5=0,"",'4. '!J209)</f>
        <v/>
      </c>
      <c r="L81" s="42" t="str">
        <f>+IF($L$5=0,"",'4. '!K209)</f>
        <v/>
      </c>
      <c r="M81" s="42" t="str">
        <f>+IF($M$5=0,"",'4. '!L209)</f>
        <v/>
      </c>
      <c r="N81" s="42" t="str">
        <f>+IF($N$5=0,"",'4. '!M209)</f>
        <v/>
      </c>
      <c r="O81" s="42" t="str">
        <f>+IF($O$5=0,"",'4. '!N209)</f>
        <v/>
      </c>
      <c r="P81" s="42" t="str">
        <f>+IF($P$5=0,"",'4. '!O209)</f>
        <v/>
      </c>
      <c r="Q81" s="42" t="str">
        <f>+IF($Q$5=0,"",'4. '!P209)</f>
        <v/>
      </c>
      <c r="R81" s="42" t="str">
        <f>+IF($R$5=0,"",'4. '!Q209)</f>
        <v/>
      </c>
      <c r="S81" s="42" t="str">
        <f>+IF($S$5=0,"",'4. '!R209)</f>
        <v/>
      </c>
      <c r="T81" s="42" t="str">
        <f>+IF($T$5=0,"",'4. '!S209)</f>
        <v/>
      </c>
      <c r="U81" s="42" t="str">
        <f>+IF($U$5=0,"",'4. '!T209)</f>
        <v/>
      </c>
      <c r="V81" s="42" t="str">
        <f>+IF($V$5=0,"",'4. '!U209)</f>
        <v/>
      </c>
      <c r="W81" s="42" t="str">
        <f>+IF($W$5=0,"",'4. '!V209)</f>
        <v/>
      </c>
      <c r="X81" s="42" t="str">
        <f>+IF($X$5=0,"",'4. '!W209)</f>
        <v/>
      </c>
      <c r="Y81" s="42" t="str">
        <f>+IF($Y$5=0,"",'4. '!X209)</f>
        <v/>
      </c>
      <c r="Z81" s="42" t="str">
        <f>+IF($Z$5=0,"",'4. '!Y209)</f>
        <v/>
      </c>
      <c r="AA81" s="42" t="str">
        <f>+IF($AA$5=0,"",'4. '!Z209)</f>
        <v/>
      </c>
      <c r="AB81" s="42" t="str">
        <f>+IF($AB$5=0,"",'4. '!AA209)</f>
        <v/>
      </c>
      <c r="AC81" s="42" t="str">
        <f>+IF($AC$5=0,"",'4. '!AB209)</f>
        <v/>
      </c>
      <c r="AD81" s="42" t="str">
        <f>+IF($AD$5=0,"",'4. '!AC209)</f>
        <v/>
      </c>
      <c r="AE81" s="42" t="str">
        <f>+IF($AE$5=0,"",'4. '!AD209)</f>
        <v/>
      </c>
      <c r="AF81" s="42" t="str">
        <f>+IF($AF$5=0,"",'4. '!AE209)</f>
        <v/>
      </c>
      <c r="AG81" s="49" t="e">
        <f t="shared" si="2"/>
        <v>#DIV/0!</v>
      </c>
      <c r="AH81" s="6"/>
    </row>
    <row r="82" spans="2:34" x14ac:dyDescent="0.25">
      <c r="B82" s="10" t="s">
        <v>264</v>
      </c>
      <c r="C82" s="42" t="str">
        <f>+IF($C$5=0,"",'4. '!B206)</f>
        <v/>
      </c>
      <c r="D82" s="42" t="str">
        <f>+IF($D$5=0,"",'4. '!C206)</f>
        <v/>
      </c>
      <c r="E82" s="42" t="str">
        <f>+IF($E$5=0,"",'4. '!D206)</f>
        <v/>
      </c>
      <c r="F82" s="42" t="str">
        <f>+IF($F$5=0,"",'4. '!E206)</f>
        <v/>
      </c>
      <c r="G82" s="42" t="str">
        <f>+IF($G$5=0,"",'4. '!F206)</f>
        <v/>
      </c>
      <c r="H82" s="42" t="str">
        <f>+IF($H$5=0,"",'4. '!G206)</f>
        <v/>
      </c>
      <c r="I82" s="42" t="str">
        <f>+IF($I$5=0,"",'4. '!H206)</f>
        <v/>
      </c>
      <c r="J82" s="42" t="str">
        <f>+IF($J$5=0,"",'4. '!I206)</f>
        <v/>
      </c>
      <c r="K82" s="42" t="str">
        <f>+IF($K$5=0,"",'4. '!J206)</f>
        <v/>
      </c>
      <c r="L82" s="42" t="str">
        <f>+IF($L$5=0,"",'4. '!K206)</f>
        <v/>
      </c>
      <c r="M82" s="42" t="str">
        <f>+IF($M$5=0,"",'4. '!L206)</f>
        <v/>
      </c>
      <c r="N82" s="42" t="str">
        <f>+IF($N$5=0,"",'4. '!M206)</f>
        <v/>
      </c>
      <c r="O82" s="42" t="str">
        <f>+IF($O$5=0,"",'4. '!N206)</f>
        <v/>
      </c>
      <c r="P82" s="42" t="str">
        <f>+IF($P$5=0,"",'4. '!O206)</f>
        <v/>
      </c>
      <c r="Q82" s="42" t="str">
        <f>+IF($Q$5=0,"",'4. '!P206)</f>
        <v/>
      </c>
      <c r="R82" s="42" t="str">
        <f>+IF($R$5=0,"",'4. '!Q206)</f>
        <v/>
      </c>
      <c r="S82" s="42" t="str">
        <f>+IF($S$5=0,"",'4. '!R206)</f>
        <v/>
      </c>
      <c r="T82" s="42" t="str">
        <f>+IF($T$5=0,"",'4. '!S206)</f>
        <v/>
      </c>
      <c r="U82" s="42" t="str">
        <f>+IF($U$5=0,"",'4. '!T206)</f>
        <v/>
      </c>
      <c r="V82" s="42" t="str">
        <f>+IF($V$5=0,"",'4. '!U206)</f>
        <v/>
      </c>
      <c r="W82" s="42" t="str">
        <f>+IF($W$5=0,"",'4. '!V206)</f>
        <v/>
      </c>
      <c r="X82" s="42" t="str">
        <f>+IF($X$5=0,"",'4. '!W206)</f>
        <v/>
      </c>
      <c r="Y82" s="42" t="str">
        <f>+IF($Y$5=0,"",'4. '!X206)</f>
        <v/>
      </c>
      <c r="Z82" s="42" t="str">
        <f>+IF($Z$5=0,"",'4. '!Y206)</f>
        <v/>
      </c>
      <c r="AA82" s="42" t="str">
        <f>+IF($AA$5=0,"",'4. '!Z206)</f>
        <v/>
      </c>
      <c r="AB82" s="42" t="str">
        <f>+IF($AB$5=0,"",'4. '!AA206)</f>
        <v/>
      </c>
      <c r="AC82" s="42" t="str">
        <f>+IF($AC$5=0,"",'4. '!AB206)</f>
        <v/>
      </c>
      <c r="AD82" s="42" t="str">
        <f>+IF($AD$5=0,"",'4. '!AC206)</f>
        <v/>
      </c>
      <c r="AE82" s="42" t="str">
        <f>+IF($AE$5=0,"",'4. '!AD206)</f>
        <v/>
      </c>
      <c r="AF82" s="42" t="str">
        <f>+IF($AF$5=0,"",'4. '!AE206)</f>
        <v/>
      </c>
      <c r="AG82" s="49" t="e">
        <f t="shared" si="2"/>
        <v>#DIV/0!</v>
      </c>
      <c r="AH82" s="6"/>
    </row>
    <row r="83" spans="2:34" x14ac:dyDescent="0.25">
      <c r="B83" s="10" t="s">
        <v>269</v>
      </c>
      <c r="C83" s="42" t="str">
        <f>+IF($C$5=0,"",'4. '!B211)</f>
        <v/>
      </c>
      <c r="D83" s="42" t="str">
        <f>+IF($D$5=0,"",'4. '!C211)</f>
        <v/>
      </c>
      <c r="E83" s="42" t="str">
        <f>+IF($E$5=0,"",'4. '!D211)</f>
        <v/>
      </c>
      <c r="F83" s="42" t="str">
        <f>+IF($F$5=0,"",'4. '!E211)</f>
        <v/>
      </c>
      <c r="G83" s="42" t="str">
        <f>+IF($G$5=0,"",'4. '!F211)</f>
        <v/>
      </c>
      <c r="H83" s="42" t="str">
        <f>+IF($H$5=0,"",'4. '!G211)</f>
        <v/>
      </c>
      <c r="I83" s="42" t="str">
        <f>+IF($I$5=0,"",'4. '!H211)</f>
        <v/>
      </c>
      <c r="J83" s="42" t="str">
        <f>+IF($J$5=0,"",'4. '!I211)</f>
        <v/>
      </c>
      <c r="K83" s="42" t="str">
        <f>+IF($K$5=0,"",'4. '!J211)</f>
        <v/>
      </c>
      <c r="L83" s="42" t="str">
        <f>+IF($L$5=0,"",'4. '!K211)</f>
        <v/>
      </c>
      <c r="M83" s="42" t="str">
        <f>+IF($M$5=0,"",'4. '!L211)</f>
        <v/>
      </c>
      <c r="N83" s="42" t="str">
        <f>+IF($N$5=0,"",'4. '!M211)</f>
        <v/>
      </c>
      <c r="O83" s="42" t="str">
        <f>+IF($O$5=0,"",'4. '!N211)</f>
        <v/>
      </c>
      <c r="P83" s="42" t="str">
        <f>+IF($P$5=0,"",'4. '!O211)</f>
        <v/>
      </c>
      <c r="Q83" s="42" t="str">
        <f>+IF($Q$5=0,"",'4. '!P211)</f>
        <v/>
      </c>
      <c r="R83" s="42" t="str">
        <f>+IF($R$5=0,"",'4. '!Q211)</f>
        <v/>
      </c>
      <c r="S83" s="42" t="str">
        <f>+IF($S$5=0,"",'4. '!R211)</f>
        <v/>
      </c>
      <c r="T83" s="42" t="str">
        <f>+IF($T$5=0,"",'4. '!S211)</f>
        <v/>
      </c>
      <c r="U83" s="42" t="str">
        <f>+IF($U$5=0,"",'4. '!T211)</f>
        <v/>
      </c>
      <c r="V83" s="42" t="str">
        <f>+IF($V$5=0,"",'4. '!U211)</f>
        <v/>
      </c>
      <c r="W83" s="42" t="str">
        <f>+IF($W$5=0,"",'4. '!V211)</f>
        <v/>
      </c>
      <c r="X83" s="42" t="str">
        <f>+IF($X$5=0,"",'4. '!W211)</f>
        <v/>
      </c>
      <c r="Y83" s="42" t="str">
        <f>+IF($Y$5=0,"",'4. '!X211)</f>
        <v/>
      </c>
      <c r="Z83" s="42" t="str">
        <f>+IF($Z$5=0,"",'4. '!Y211)</f>
        <v/>
      </c>
      <c r="AA83" s="42" t="str">
        <f>+IF($AA$5=0,"",'4. '!Z211)</f>
        <v/>
      </c>
      <c r="AB83" s="42" t="str">
        <f>+IF($AB$5=0,"",'4. '!AA211)</f>
        <v/>
      </c>
      <c r="AC83" s="42" t="str">
        <f>+IF($AC$5=0,"",'4. '!AB211)</f>
        <v/>
      </c>
      <c r="AD83" s="42" t="str">
        <f>+IF($AD$5=0,"",'4. '!AC211)</f>
        <v/>
      </c>
      <c r="AE83" s="42" t="str">
        <f>+IF($AE$5=0,"",'4. '!AD211)</f>
        <v/>
      </c>
      <c r="AF83" s="42" t="str">
        <f>+IF($AF$5=0,"",'4. '!AE211)</f>
        <v/>
      </c>
      <c r="AG83" s="49" t="e">
        <f t="shared" si="2"/>
        <v>#DIV/0!</v>
      </c>
      <c r="AH83" s="6"/>
    </row>
    <row r="84" spans="2:34" x14ac:dyDescent="0.25">
      <c r="B84" s="10" t="s">
        <v>266</v>
      </c>
      <c r="C84" s="42" t="str">
        <f>+IF($C$5=0,"",'4. '!B208)</f>
        <v/>
      </c>
      <c r="D84" s="42" t="str">
        <f>+IF($D$5=0,"",'4. '!C208)</f>
        <v/>
      </c>
      <c r="E84" s="42" t="str">
        <f>+IF($E$5=0,"",'4. '!D208)</f>
        <v/>
      </c>
      <c r="F84" s="42" t="str">
        <f>+IF($F$5=0,"",'4. '!E208)</f>
        <v/>
      </c>
      <c r="G84" s="42" t="str">
        <f>+IF($G$5=0,"",'4. '!F208)</f>
        <v/>
      </c>
      <c r="H84" s="42" t="str">
        <f>+IF($H$5=0,"",'4. '!G208)</f>
        <v/>
      </c>
      <c r="I84" s="42" t="str">
        <f>+IF($I$5=0,"",'4. '!H208)</f>
        <v/>
      </c>
      <c r="J84" s="42" t="str">
        <f>+IF($J$5=0,"",'4. '!I208)</f>
        <v/>
      </c>
      <c r="K84" s="42" t="str">
        <f>+IF($K$5=0,"",'4. '!J208)</f>
        <v/>
      </c>
      <c r="L84" s="42" t="str">
        <f>+IF($L$5=0,"",'4. '!K208)</f>
        <v/>
      </c>
      <c r="M84" s="42" t="str">
        <f>+IF($M$5=0,"",'4. '!L208)</f>
        <v/>
      </c>
      <c r="N84" s="42" t="str">
        <f>+IF($N$5=0,"",'4. '!M208)</f>
        <v/>
      </c>
      <c r="O84" s="42" t="str">
        <f>+IF($O$5=0,"",'4. '!N208)</f>
        <v/>
      </c>
      <c r="P84" s="42" t="str">
        <f>+IF($P$5=0,"",'4. '!O208)</f>
        <v/>
      </c>
      <c r="Q84" s="42" t="str">
        <f>+IF($Q$5=0,"",'4. '!P208)</f>
        <v/>
      </c>
      <c r="R84" s="42" t="str">
        <f>+IF($R$5=0,"",'4. '!Q208)</f>
        <v/>
      </c>
      <c r="S84" s="42" t="str">
        <f>+IF($S$5=0,"",'4. '!R208)</f>
        <v/>
      </c>
      <c r="T84" s="42" t="str">
        <f>+IF($T$5=0,"",'4. '!S208)</f>
        <v/>
      </c>
      <c r="U84" s="42" t="str">
        <f>+IF($U$5=0,"",'4. '!T208)</f>
        <v/>
      </c>
      <c r="V84" s="42" t="str">
        <f>+IF($V$5=0,"",'4. '!U208)</f>
        <v/>
      </c>
      <c r="W84" s="42" t="str">
        <f>+IF($W$5=0,"",'4. '!V208)</f>
        <v/>
      </c>
      <c r="X84" s="42" t="str">
        <f>+IF($X$5=0,"",'4. '!W208)</f>
        <v/>
      </c>
      <c r="Y84" s="42" t="str">
        <f>+IF($Y$5=0,"",'4. '!X208)</f>
        <v/>
      </c>
      <c r="Z84" s="42" t="str">
        <f>+IF($Z$5=0,"",'4. '!Y208)</f>
        <v/>
      </c>
      <c r="AA84" s="42" t="str">
        <f>+IF($AA$5=0,"",'4. '!Z208)</f>
        <v/>
      </c>
      <c r="AB84" s="42" t="str">
        <f>+IF($AB$5=0,"",'4. '!AA208)</f>
        <v/>
      </c>
      <c r="AC84" s="42" t="str">
        <f>+IF($AC$5=0,"",'4. '!AB208)</f>
        <v/>
      </c>
      <c r="AD84" s="42" t="str">
        <f>+IF($AD$5=0,"",'4. '!AC208)</f>
        <v/>
      </c>
      <c r="AE84" s="42" t="str">
        <f>+IF($AE$5=0,"",'4. '!AD208)</f>
        <v/>
      </c>
      <c r="AF84" s="42" t="str">
        <f>+IF($AF$5=0,"",'4. '!AE208)</f>
        <v/>
      </c>
      <c r="AG84" s="49" t="e">
        <f t="shared" si="2"/>
        <v>#DIV/0!</v>
      </c>
      <c r="AH84" s="6"/>
    </row>
    <row r="85" spans="2:34" x14ac:dyDescent="0.25">
      <c r="B85" s="10" t="s">
        <v>243</v>
      </c>
      <c r="C85" s="42" t="str">
        <f>+IF($C$5=0,"",'4. '!B185)</f>
        <v/>
      </c>
      <c r="D85" s="42" t="str">
        <f>+IF($D$5=0,"",'4. '!C185)</f>
        <v/>
      </c>
      <c r="E85" s="42" t="str">
        <f>+IF($E$5=0,"",'4. '!D185)</f>
        <v/>
      </c>
      <c r="F85" s="42" t="str">
        <f>+IF($F$5=0,"",'4. '!E185)</f>
        <v/>
      </c>
      <c r="G85" s="42" t="str">
        <f>+IF($G$5=0,"",'4. '!F185)</f>
        <v/>
      </c>
      <c r="H85" s="42" t="str">
        <f>+IF($H$5=0,"",'4. '!G185)</f>
        <v/>
      </c>
      <c r="I85" s="42" t="str">
        <f>+IF($I$5=0,"",'4. '!H185)</f>
        <v/>
      </c>
      <c r="J85" s="42" t="str">
        <f>+IF($J$5=0,"",'4. '!I185)</f>
        <v/>
      </c>
      <c r="K85" s="42" t="str">
        <f>+IF($K$5=0,"",'4. '!J185)</f>
        <v/>
      </c>
      <c r="L85" s="42" t="str">
        <f>+IF($L$5=0,"",'4. '!K185)</f>
        <v/>
      </c>
      <c r="M85" s="42" t="str">
        <f>+IF($M$5=0,"",'4. '!L185)</f>
        <v/>
      </c>
      <c r="N85" s="42" t="str">
        <f>+IF($N$5=0,"",'4. '!M185)</f>
        <v/>
      </c>
      <c r="O85" s="42" t="str">
        <f>+IF($O$5=0,"",'4. '!N185)</f>
        <v/>
      </c>
      <c r="P85" s="42" t="str">
        <f>+IF($P$5=0,"",'4. '!O185)</f>
        <v/>
      </c>
      <c r="Q85" s="42" t="str">
        <f>+IF($Q$5=0,"",'4. '!P185)</f>
        <v/>
      </c>
      <c r="R85" s="42" t="str">
        <f>+IF($R$5=0,"",'4. '!Q185)</f>
        <v/>
      </c>
      <c r="S85" s="42" t="str">
        <f>+IF($S$5=0,"",'4. '!R185)</f>
        <v/>
      </c>
      <c r="T85" s="42" t="str">
        <f>+IF($T$5=0,"",'4. '!S185)</f>
        <v/>
      </c>
      <c r="U85" s="42" t="str">
        <f>+IF($U$5=0,"",'4. '!T185)</f>
        <v/>
      </c>
      <c r="V85" s="42" t="str">
        <f>+IF($V$5=0,"",'4. '!U185)</f>
        <v/>
      </c>
      <c r="W85" s="42" t="str">
        <f>+IF($W$5=0,"",'4. '!V185)</f>
        <v/>
      </c>
      <c r="X85" s="42" t="str">
        <f>+IF($X$5=0,"",'4. '!W185)</f>
        <v/>
      </c>
      <c r="Y85" s="42" t="str">
        <f>+IF($Y$5=0,"",'4. '!X185)</f>
        <v/>
      </c>
      <c r="Z85" s="42" t="str">
        <f>+IF($Z$5=0,"",'4. '!Y185)</f>
        <v/>
      </c>
      <c r="AA85" s="42" t="str">
        <f>+IF($AA$5=0,"",'4. '!Z185)</f>
        <v/>
      </c>
      <c r="AB85" s="42" t="str">
        <f>+IF($AB$5=0,"",'4. '!AA185)</f>
        <v/>
      </c>
      <c r="AC85" s="42" t="str">
        <f>+IF($AC$5=0,"",'4. '!AB185)</f>
        <v/>
      </c>
      <c r="AD85" s="42" t="str">
        <f>+IF($AD$5=0,"",'4. '!AC185)</f>
        <v/>
      </c>
      <c r="AE85" s="42" t="str">
        <f>+IF($AE$5=0,"",'4. '!AD185)</f>
        <v/>
      </c>
      <c r="AF85" s="42" t="str">
        <f>+IF($AF$5=0,"",'4. '!AE185)</f>
        <v/>
      </c>
      <c r="AG85" s="49" t="e">
        <f t="shared" si="2"/>
        <v>#DIV/0!</v>
      </c>
      <c r="AH85" s="6"/>
    </row>
    <row r="86" spans="2:34" ht="15.75" thickBot="1" x14ac:dyDescent="0.3">
      <c r="B86" s="11" t="s">
        <v>245</v>
      </c>
      <c r="C86" s="42" t="str">
        <f>+IF($C$5=0,"",'4. '!B187)</f>
        <v/>
      </c>
      <c r="D86" s="42" t="str">
        <f>+IF($D$5=0,"",'4. '!C187)</f>
        <v/>
      </c>
      <c r="E86" s="42" t="str">
        <f>+IF($E$5=0,"",'4. '!D187)</f>
        <v/>
      </c>
      <c r="F86" s="42" t="str">
        <f>+IF($F$5=0,"",'4. '!E187)</f>
        <v/>
      </c>
      <c r="G86" s="42" t="str">
        <f>+IF($G$5=0,"",'4. '!F187)</f>
        <v/>
      </c>
      <c r="H86" s="42" t="str">
        <f>+IF($H$5=0,"",'4. '!G187)</f>
        <v/>
      </c>
      <c r="I86" s="42" t="str">
        <f>+IF($I$5=0,"",'4. '!H187)</f>
        <v/>
      </c>
      <c r="J86" s="42" t="str">
        <f>+IF($J$5=0,"",'4. '!I187)</f>
        <v/>
      </c>
      <c r="K86" s="42" t="str">
        <f>+IF($K$5=0,"",'4. '!J187)</f>
        <v/>
      </c>
      <c r="L86" s="42" t="str">
        <f>+IF($L$5=0,"",'4. '!K187)</f>
        <v/>
      </c>
      <c r="M86" s="42" t="str">
        <f>+IF($M$5=0,"",'4. '!L187)</f>
        <v/>
      </c>
      <c r="N86" s="42" t="str">
        <f>+IF($N$5=0,"",'4. '!M187)</f>
        <v/>
      </c>
      <c r="O86" s="42" t="str">
        <f>+IF($O$5=0,"",'4. '!N187)</f>
        <v/>
      </c>
      <c r="P86" s="42" t="str">
        <f>+IF($P$5=0,"",'4. '!O187)</f>
        <v/>
      </c>
      <c r="Q86" s="42" t="str">
        <f>+IF($Q$5=0,"",'4. '!P187)</f>
        <v/>
      </c>
      <c r="R86" s="42" t="str">
        <f>+IF($R$5=0,"",'4. '!Q187)</f>
        <v/>
      </c>
      <c r="S86" s="42" t="str">
        <f>+IF($S$5=0,"",'4. '!R187)</f>
        <v/>
      </c>
      <c r="T86" s="42" t="str">
        <f>+IF($T$5=0,"",'4. '!S187)</f>
        <v/>
      </c>
      <c r="U86" s="42" t="str">
        <f>+IF($U$5=0,"",'4. '!T187)</f>
        <v/>
      </c>
      <c r="V86" s="42" t="str">
        <f>+IF($V$5=0,"",'4. '!U187)</f>
        <v/>
      </c>
      <c r="W86" s="42" t="str">
        <f>+IF($W$5=0,"",'4. '!V187)</f>
        <v/>
      </c>
      <c r="X86" s="42" t="str">
        <f>+IF($X$5=0,"",'4. '!W187)</f>
        <v/>
      </c>
      <c r="Y86" s="42" t="str">
        <f>+IF($Y$5=0,"",'4. '!X187)</f>
        <v/>
      </c>
      <c r="Z86" s="42" t="str">
        <f>+IF($Z$5=0,"",'4. '!Y187)</f>
        <v/>
      </c>
      <c r="AA86" s="42" t="str">
        <f>+IF($AA$5=0,"",'4. '!Z187)</f>
        <v/>
      </c>
      <c r="AB86" s="42" t="str">
        <f>+IF($AB$5=0,"",'4. '!AA187)</f>
        <v/>
      </c>
      <c r="AC86" s="42" t="str">
        <f>+IF($AC$5=0,"",'4. '!AB187)</f>
        <v/>
      </c>
      <c r="AD86" s="42" t="str">
        <f>+IF($AD$5=0,"",'4. '!AC187)</f>
        <v/>
      </c>
      <c r="AE86" s="42" t="str">
        <f>+IF($AE$5=0,"",'4. '!AD187)</f>
        <v/>
      </c>
      <c r="AF86" s="42" t="str">
        <f>+IF($AF$5=0,"",'4. '!AE187)</f>
        <v/>
      </c>
      <c r="AG86" s="50" t="e">
        <f t="shared" si="2"/>
        <v>#DIV/0!</v>
      </c>
      <c r="AH86" s="8"/>
    </row>
    <row r="87" spans="2:34" ht="15.75" thickBot="1" x14ac:dyDescent="0.3">
      <c r="B87" s="10" t="s">
        <v>250</v>
      </c>
      <c r="C87" s="42" t="str">
        <f>+IF($C$5=0,"",'4. '!B192)</f>
        <v/>
      </c>
      <c r="D87" s="42" t="str">
        <f>+IF($D$5=0,"",'4. '!C192)</f>
        <v/>
      </c>
      <c r="E87" s="42" t="str">
        <f>+IF($E$5=0,"",'4. '!D192)</f>
        <v/>
      </c>
      <c r="F87" s="42" t="str">
        <f>+IF($F$5=0,"",'4. '!E192)</f>
        <v/>
      </c>
      <c r="G87" s="42" t="str">
        <f>+IF($G$5=0,"",'4. '!F192)</f>
        <v/>
      </c>
      <c r="H87" s="42" t="str">
        <f>+IF($H$5=0,"",'4. '!G192)</f>
        <v/>
      </c>
      <c r="I87" s="42" t="str">
        <f>+IF($I$5=0,"",'4. '!H192)</f>
        <v/>
      </c>
      <c r="J87" s="42" t="str">
        <f>+IF($J$5=0,"",'4. '!I192)</f>
        <v/>
      </c>
      <c r="K87" s="42" t="str">
        <f>+IF($K$5=0,"",'4. '!J192)</f>
        <v/>
      </c>
      <c r="L87" s="42" t="str">
        <f>+IF($L$5=0,"",'4. '!K192)</f>
        <v/>
      </c>
      <c r="M87" s="42" t="str">
        <f>+IF($M$5=0,"",'4. '!L192)</f>
        <v/>
      </c>
      <c r="N87" s="42" t="str">
        <f>+IF($N$5=0,"",'4. '!M192)</f>
        <v/>
      </c>
      <c r="O87" s="42" t="str">
        <f>+IF($O$5=0,"",'4. '!N192)</f>
        <v/>
      </c>
      <c r="P87" s="42" t="str">
        <f>+IF($P$5=0,"",'4. '!O192)</f>
        <v/>
      </c>
      <c r="Q87" s="42" t="str">
        <f>+IF($Q$5=0,"",'4. '!P192)</f>
        <v/>
      </c>
      <c r="R87" s="42" t="str">
        <f>+IF($R$5=0,"",'4. '!Q192)</f>
        <v/>
      </c>
      <c r="S87" s="42" t="str">
        <f>+IF($S$5=0,"",'4. '!R192)</f>
        <v/>
      </c>
      <c r="T87" s="42" t="str">
        <f>+IF($T$5=0,"",'4. '!S192)</f>
        <v/>
      </c>
      <c r="U87" s="42" t="str">
        <f>+IF($U$5=0,"",'4. '!T192)</f>
        <v/>
      </c>
      <c r="V87" s="42" t="str">
        <f>+IF($V$5=0,"",'4. '!U192)</f>
        <v/>
      </c>
      <c r="W87" s="42" t="str">
        <f>+IF($W$5=0,"",'4. '!V192)</f>
        <v/>
      </c>
      <c r="X87" s="42" t="str">
        <f>+IF($X$5=0,"",'4. '!W192)</f>
        <v/>
      </c>
      <c r="Y87" s="42" t="str">
        <f>+IF($Y$5=0,"",'4. '!X192)</f>
        <v/>
      </c>
      <c r="Z87" s="42" t="str">
        <f>+IF($Z$5=0,"",'4. '!Y192)</f>
        <v/>
      </c>
      <c r="AA87" s="42" t="str">
        <f>+IF($AA$5=0,"",'4. '!Z192)</f>
        <v/>
      </c>
      <c r="AB87" s="42" t="str">
        <f>+IF($AB$5=0,"",'4. '!AA192)</f>
        <v/>
      </c>
      <c r="AC87" s="42" t="str">
        <f>+IF($AC$5=0,"",'4. '!AB192)</f>
        <v/>
      </c>
      <c r="AD87" s="42" t="str">
        <f>+IF($AD$5=0,"",'4. '!AC192)</f>
        <v/>
      </c>
      <c r="AE87" s="42" t="str">
        <f>+IF($AE$5=0,"",'4. '!AD192)</f>
        <v/>
      </c>
      <c r="AF87" s="42" t="str">
        <f>+IF($AF$5=0,"",'4. '!AE192)</f>
        <v/>
      </c>
      <c r="AG87" s="50" t="e">
        <f t="shared" si="2"/>
        <v>#DIV/0!</v>
      </c>
      <c r="AH87" s="6"/>
    </row>
    <row r="88" spans="2:34" ht="15.75" thickBot="1" x14ac:dyDescent="0.3">
      <c r="B88" s="11" t="s">
        <v>247</v>
      </c>
      <c r="C88" s="42" t="str">
        <f>+IF($C$5=0,"",'4. '!B189)</f>
        <v/>
      </c>
      <c r="D88" s="42" t="str">
        <f>+IF($D$5=0,"",'4. '!C189)</f>
        <v/>
      </c>
      <c r="E88" s="42" t="str">
        <f>+IF($E$5=0,"",'4. '!D189)</f>
        <v/>
      </c>
      <c r="F88" s="42" t="str">
        <f>+IF($F$5=0,"",'4. '!E189)</f>
        <v/>
      </c>
      <c r="G88" s="42" t="str">
        <f>+IF($G$5=0,"",'4. '!F189)</f>
        <v/>
      </c>
      <c r="H88" s="42" t="str">
        <f>+IF($H$5=0,"",'4. '!G189)</f>
        <v/>
      </c>
      <c r="I88" s="42" t="str">
        <f>+IF($I$5=0,"",'4. '!H189)</f>
        <v/>
      </c>
      <c r="J88" s="42" t="str">
        <f>+IF($J$5=0,"",'4. '!I189)</f>
        <v/>
      </c>
      <c r="K88" s="42" t="str">
        <f>+IF($K$5=0,"",'4. '!J189)</f>
        <v/>
      </c>
      <c r="L88" s="42" t="str">
        <f>+IF($L$5=0,"",'4. '!K189)</f>
        <v/>
      </c>
      <c r="M88" s="42" t="str">
        <f>+IF($M$5=0,"",'4. '!L189)</f>
        <v/>
      </c>
      <c r="N88" s="42" t="str">
        <f>+IF($N$5=0,"",'4. '!M189)</f>
        <v/>
      </c>
      <c r="O88" s="42" t="str">
        <f>+IF($O$5=0,"",'4. '!N189)</f>
        <v/>
      </c>
      <c r="P88" s="42" t="str">
        <f>+IF($P$5=0,"",'4. '!O189)</f>
        <v/>
      </c>
      <c r="Q88" s="42" t="str">
        <f>+IF($Q$5=0,"",'4. '!P189)</f>
        <v/>
      </c>
      <c r="R88" s="42" t="str">
        <f>+IF($R$5=0,"",'4. '!Q189)</f>
        <v/>
      </c>
      <c r="S88" s="42" t="str">
        <f>+IF($S$5=0,"",'4. '!R189)</f>
        <v/>
      </c>
      <c r="T88" s="42" t="str">
        <f>+IF($T$5=0,"",'4. '!S189)</f>
        <v/>
      </c>
      <c r="U88" s="42" t="str">
        <f>+IF($U$5=0,"",'4. '!T189)</f>
        <v/>
      </c>
      <c r="V88" s="42" t="str">
        <f>+IF($V$5=0,"",'4. '!U189)</f>
        <v/>
      </c>
      <c r="W88" s="42" t="str">
        <f>+IF($W$5=0,"",'4. '!V189)</f>
        <v/>
      </c>
      <c r="X88" s="42" t="str">
        <f>+IF($X$5=0,"",'4. '!W189)</f>
        <v/>
      </c>
      <c r="Y88" s="42" t="str">
        <f>+IF($Y$5=0,"",'4. '!X189)</f>
        <v/>
      </c>
      <c r="Z88" s="42" t="str">
        <f>+IF($Z$5=0,"",'4. '!Y189)</f>
        <v/>
      </c>
      <c r="AA88" s="42" t="str">
        <f>+IF($AA$5=0,"",'4. '!Z189)</f>
        <v/>
      </c>
      <c r="AB88" s="42" t="str">
        <f>+IF($AB$5=0,"",'4. '!AA189)</f>
        <v/>
      </c>
      <c r="AC88" s="42" t="str">
        <f>+IF($AC$5=0,"",'4. '!AB189)</f>
        <v/>
      </c>
      <c r="AD88" s="42" t="str">
        <f>+IF($AD$5=0,"",'4. '!AC189)</f>
        <v/>
      </c>
      <c r="AE88" s="42" t="str">
        <f>+IF($AE$5=0,"",'4. '!AD189)</f>
        <v/>
      </c>
      <c r="AF88" s="42" t="str">
        <f>+IF($AF$5=0,"",'4. '!AE189)</f>
        <v/>
      </c>
      <c r="AG88" s="50" t="e">
        <f t="shared" si="2"/>
        <v>#DIV/0!</v>
      </c>
      <c r="AH88" s="6"/>
    </row>
    <row r="89" spans="2:34" ht="15.75" thickBot="1" x14ac:dyDescent="0.3">
      <c r="B89" s="10" t="s">
        <v>258</v>
      </c>
      <c r="C89" s="42" t="str">
        <f>+IF($C$5=0,"",'4. '!B200)</f>
        <v/>
      </c>
      <c r="D89" s="42" t="str">
        <f>+IF($D$5=0,"",'4. '!C200)</f>
        <v/>
      </c>
      <c r="E89" s="42" t="str">
        <f>+IF($E$5=0,"",'4. '!D200)</f>
        <v/>
      </c>
      <c r="F89" s="42" t="str">
        <f>+IF($F$5=0,"",'4. '!E200)</f>
        <v/>
      </c>
      <c r="G89" s="42" t="str">
        <f>+IF($G$5=0,"",'4. '!F200)</f>
        <v/>
      </c>
      <c r="H89" s="42" t="str">
        <f>+IF($H$5=0,"",'4. '!G200)</f>
        <v/>
      </c>
      <c r="I89" s="42" t="str">
        <f>+IF($I$5=0,"",'4. '!H200)</f>
        <v/>
      </c>
      <c r="J89" s="42" t="str">
        <f>+IF($J$5=0,"",'4. '!I200)</f>
        <v/>
      </c>
      <c r="K89" s="42" t="str">
        <f>+IF($K$5=0,"",'4. '!J200)</f>
        <v/>
      </c>
      <c r="L89" s="42" t="str">
        <f>+IF($L$5=0,"",'4. '!K200)</f>
        <v/>
      </c>
      <c r="M89" s="42" t="str">
        <f>+IF($M$5=0,"",'4. '!L200)</f>
        <v/>
      </c>
      <c r="N89" s="42" t="str">
        <f>+IF($N$5=0,"",'4. '!M200)</f>
        <v/>
      </c>
      <c r="O89" s="42" t="str">
        <f>+IF($O$5=0,"",'4. '!N200)</f>
        <v/>
      </c>
      <c r="P89" s="42" t="str">
        <f>+IF($P$5=0,"",'4. '!O200)</f>
        <v/>
      </c>
      <c r="Q89" s="42" t="str">
        <f>+IF($Q$5=0,"",'4. '!P200)</f>
        <v/>
      </c>
      <c r="R89" s="42" t="str">
        <f>+IF($R$5=0,"",'4. '!Q200)</f>
        <v/>
      </c>
      <c r="S89" s="42" t="str">
        <f>+IF($S$5=0,"",'4. '!R200)</f>
        <v/>
      </c>
      <c r="T89" s="42" t="str">
        <f>+IF($T$5=0,"",'4. '!S200)</f>
        <v/>
      </c>
      <c r="U89" s="42" t="str">
        <f>+IF($U$5=0,"",'4. '!T200)</f>
        <v/>
      </c>
      <c r="V89" s="42" t="str">
        <f>+IF($V$5=0,"",'4. '!U200)</f>
        <v/>
      </c>
      <c r="W89" s="42" t="str">
        <f>+IF($W$5=0,"",'4. '!V200)</f>
        <v/>
      </c>
      <c r="X89" s="42" t="str">
        <f>+IF($X$5=0,"",'4. '!W200)</f>
        <v/>
      </c>
      <c r="Y89" s="42" t="str">
        <f>+IF($Y$5=0,"",'4. '!X200)</f>
        <v/>
      </c>
      <c r="Z89" s="42" t="str">
        <f>+IF($Z$5=0,"",'4. '!Y200)</f>
        <v/>
      </c>
      <c r="AA89" s="42" t="str">
        <f>+IF($AA$5=0,"",'4. '!Z200)</f>
        <v/>
      </c>
      <c r="AB89" s="42" t="str">
        <f>+IF($AB$5=0,"",'4. '!AA200)</f>
        <v/>
      </c>
      <c r="AC89" s="42" t="str">
        <f>+IF($AC$5=0,"",'4. '!AB200)</f>
        <v/>
      </c>
      <c r="AD89" s="42" t="str">
        <f>+IF($AD$5=0,"",'4. '!AC200)</f>
        <v/>
      </c>
      <c r="AE89" s="42" t="str">
        <f>+IF($AE$5=0,"",'4. '!AD200)</f>
        <v/>
      </c>
      <c r="AF89" s="42" t="str">
        <f>+IF($AF$5=0,"",'4. '!AE200)</f>
        <v/>
      </c>
      <c r="AG89" s="50" t="e">
        <f t="shared" si="2"/>
        <v>#DIV/0!</v>
      </c>
      <c r="AH89" s="6"/>
    </row>
    <row r="90" spans="2:34" ht="15.75" thickBot="1" x14ac:dyDescent="0.3">
      <c r="B90" s="11" t="s">
        <v>255</v>
      </c>
      <c r="C90" s="42" t="str">
        <f>+IF($C$5=0,"",'4. '!B197)</f>
        <v/>
      </c>
      <c r="D90" s="42" t="str">
        <f>+IF($D$5=0,"",'4. '!C197)</f>
        <v/>
      </c>
      <c r="E90" s="42" t="str">
        <f>+IF($E$5=0,"",'4. '!D197)</f>
        <v/>
      </c>
      <c r="F90" s="42" t="str">
        <f>+IF($F$5=0,"",'4. '!E197)</f>
        <v/>
      </c>
      <c r="G90" s="42" t="str">
        <f>+IF($G$5=0,"",'4. '!F197)</f>
        <v/>
      </c>
      <c r="H90" s="42" t="str">
        <f>+IF($H$5=0,"",'4. '!G197)</f>
        <v/>
      </c>
      <c r="I90" s="42" t="str">
        <f>+IF($I$5=0,"",'4. '!H197)</f>
        <v/>
      </c>
      <c r="J90" s="42" t="str">
        <f>+IF($J$5=0,"",'4. '!I197)</f>
        <v/>
      </c>
      <c r="K90" s="42" t="str">
        <f>+IF($K$5=0,"",'4. '!J197)</f>
        <v/>
      </c>
      <c r="L90" s="42" t="str">
        <f>+IF($L$5=0,"",'4. '!K197)</f>
        <v/>
      </c>
      <c r="M90" s="42" t="str">
        <f>+IF($M$5=0,"",'4. '!L197)</f>
        <v/>
      </c>
      <c r="N90" s="42" t="str">
        <f>+IF($N$5=0,"",'4. '!M197)</f>
        <v/>
      </c>
      <c r="O90" s="42" t="str">
        <f>+IF($O$5=0,"",'4. '!N197)</f>
        <v/>
      </c>
      <c r="P90" s="42" t="str">
        <f>+IF($P$5=0,"",'4. '!O197)</f>
        <v/>
      </c>
      <c r="Q90" s="42" t="str">
        <f>+IF($Q$5=0,"",'4. '!P197)</f>
        <v/>
      </c>
      <c r="R90" s="42" t="str">
        <f>+IF($R$5=0,"",'4. '!Q197)</f>
        <v/>
      </c>
      <c r="S90" s="42" t="str">
        <f>+IF($S$5=0,"",'4. '!R197)</f>
        <v/>
      </c>
      <c r="T90" s="42" t="str">
        <f>+IF($T$5=0,"",'4. '!S197)</f>
        <v/>
      </c>
      <c r="U90" s="42" t="str">
        <f>+IF($U$5=0,"",'4. '!T197)</f>
        <v/>
      </c>
      <c r="V90" s="42" t="str">
        <f>+IF($V$5=0,"",'4. '!U197)</f>
        <v/>
      </c>
      <c r="W90" s="42" t="str">
        <f>+IF($W$5=0,"",'4. '!V197)</f>
        <v/>
      </c>
      <c r="X90" s="42" t="str">
        <f>+IF($X$5=0,"",'4. '!W197)</f>
        <v/>
      </c>
      <c r="Y90" s="42" t="str">
        <f>+IF($Y$5=0,"",'4. '!X197)</f>
        <v/>
      </c>
      <c r="Z90" s="42" t="str">
        <f>+IF($Z$5=0,"",'4. '!Y197)</f>
        <v/>
      </c>
      <c r="AA90" s="42" t="str">
        <f>+IF($AA$5=0,"",'4. '!Z197)</f>
        <v/>
      </c>
      <c r="AB90" s="42" t="str">
        <f>+IF($AB$5=0,"",'4. '!AA197)</f>
        <v/>
      </c>
      <c r="AC90" s="42" t="str">
        <f>+IF($AC$5=0,"",'4. '!AB197)</f>
        <v/>
      </c>
      <c r="AD90" s="42" t="str">
        <f>+IF($AD$5=0,"",'4. '!AC197)</f>
        <v/>
      </c>
      <c r="AE90" s="42" t="str">
        <f>+IF($AE$5=0,"",'4. '!AD197)</f>
        <v/>
      </c>
      <c r="AF90" s="42" t="str">
        <f>+IF($AF$5=0,"",'4. '!AE197)</f>
        <v/>
      </c>
      <c r="AG90" s="50" t="e">
        <f t="shared" si="2"/>
        <v>#DIV/0!</v>
      </c>
      <c r="AH90" s="6"/>
    </row>
    <row r="91" spans="2:34" ht="15.75" thickBot="1" x14ac:dyDescent="0.3">
      <c r="B91" s="10" t="s">
        <v>260</v>
      </c>
      <c r="C91" s="42" t="str">
        <f>+IF($C$5=0,"",'4. '!B202)</f>
        <v/>
      </c>
      <c r="D91" s="42" t="str">
        <f>+IF($D$5=0,"",'4. '!C202)</f>
        <v/>
      </c>
      <c r="E91" s="42" t="str">
        <f>+IF($E$5=0,"",'4. '!D202)</f>
        <v/>
      </c>
      <c r="F91" s="42" t="str">
        <f>+IF($F$5=0,"",'4. '!E202)</f>
        <v/>
      </c>
      <c r="G91" s="42" t="str">
        <f>+IF($G$5=0,"",'4. '!F202)</f>
        <v/>
      </c>
      <c r="H91" s="42" t="str">
        <f>+IF($H$5=0,"",'4. '!G202)</f>
        <v/>
      </c>
      <c r="I91" s="42" t="str">
        <f>+IF($I$5=0,"",'4. '!H202)</f>
        <v/>
      </c>
      <c r="J91" s="42" t="str">
        <f>+IF($J$5=0,"",'4. '!I202)</f>
        <v/>
      </c>
      <c r="K91" s="42" t="str">
        <f>+IF($K$5=0,"",'4. '!J202)</f>
        <v/>
      </c>
      <c r="L91" s="42" t="str">
        <f>+IF($L$5=0,"",'4. '!K202)</f>
        <v/>
      </c>
      <c r="M91" s="42" t="str">
        <f>+IF($M$5=0,"",'4. '!L202)</f>
        <v/>
      </c>
      <c r="N91" s="42" t="str">
        <f>+IF($N$5=0,"",'4. '!M202)</f>
        <v/>
      </c>
      <c r="O91" s="42" t="str">
        <f>+IF($O$5=0,"",'4. '!N202)</f>
        <v/>
      </c>
      <c r="P91" s="42" t="str">
        <f>+IF($P$5=0,"",'4. '!O202)</f>
        <v/>
      </c>
      <c r="Q91" s="42" t="str">
        <f>+IF($Q$5=0,"",'4. '!P202)</f>
        <v/>
      </c>
      <c r="R91" s="42" t="str">
        <f>+IF($R$5=0,"",'4. '!Q202)</f>
        <v/>
      </c>
      <c r="S91" s="42" t="str">
        <f>+IF($S$5=0,"",'4. '!R202)</f>
        <v/>
      </c>
      <c r="T91" s="42" t="str">
        <f>+IF($T$5=0,"",'4. '!S202)</f>
        <v/>
      </c>
      <c r="U91" s="42" t="str">
        <f>+IF($U$5=0,"",'4. '!T202)</f>
        <v/>
      </c>
      <c r="V91" s="42" t="str">
        <f>+IF($V$5=0,"",'4. '!U202)</f>
        <v/>
      </c>
      <c r="W91" s="42" t="str">
        <f>+IF($W$5=0,"",'4. '!V202)</f>
        <v/>
      </c>
      <c r="X91" s="42" t="str">
        <f>+IF($X$5=0,"",'4. '!W202)</f>
        <v/>
      </c>
      <c r="Y91" s="42" t="str">
        <f>+IF($Y$5=0,"",'4. '!X202)</f>
        <v/>
      </c>
      <c r="Z91" s="42" t="str">
        <f>+IF($Z$5=0,"",'4. '!Y202)</f>
        <v/>
      </c>
      <c r="AA91" s="42" t="str">
        <f>+IF($AA$5=0,"",'4. '!Z202)</f>
        <v/>
      </c>
      <c r="AB91" s="42" t="str">
        <f>+IF($AB$5=0,"",'4. '!AA202)</f>
        <v/>
      </c>
      <c r="AC91" s="42" t="str">
        <f>+IF($AC$5=0,"",'4. '!AB202)</f>
        <v/>
      </c>
      <c r="AD91" s="42" t="str">
        <f>+IF($AD$5=0,"",'4. '!AC202)</f>
        <v/>
      </c>
      <c r="AE91" s="42" t="str">
        <f>+IF($AE$5=0,"",'4. '!AD202)</f>
        <v/>
      </c>
      <c r="AF91" s="42" t="str">
        <f>+IF($AF$5=0,"",'4. '!AE202)</f>
        <v/>
      </c>
      <c r="AG91" s="50" t="e">
        <f t="shared" si="2"/>
        <v>#DIV/0!</v>
      </c>
      <c r="AH91" s="6"/>
    </row>
    <row r="92" spans="2:34" ht="15.75" thickBot="1" x14ac:dyDescent="0.3">
      <c r="B92" s="11" t="s">
        <v>257</v>
      </c>
      <c r="C92" s="42" t="str">
        <f>+IF($C$5=0,"",'4. '!B199)</f>
        <v/>
      </c>
      <c r="D92" s="42" t="str">
        <f>+IF($D$5=0,"",'4. '!C199)</f>
        <v/>
      </c>
      <c r="E92" s="42" t="str">
        <f>+IF($E$5=0,"",'4. '!D199)</f>
        <v/>
      </c>
      <c r="F92" s="42" t="str">
        <f>+IF($F$5=0,"",'4. '!E199)</f>
        <v/>
      </c>
      <c r="G92" s="42" t="str">
        <f>+IF($G$5=0,"",'4. '!F199)</f>
        <v/>
      </c>
      <c r="H92" s="42" t="str">
        <f>+IF($H$5=0,"",'4. '!G199)</f>
        <v/>
      </c>
      <c r="I92" s="42" t="str">
        <f>+IF($I$5=0,"",'4. '!H199)</f>
        <v/>
      </c>
      <c r="J92" s="42" t="str">
        <f>+IF($J$5=0,"",'4. '!I199)</f>
        <v/>
      </c>
      <c r="K92" s="42" t="str">
        <f>+IF($K$5=0,"",'4. '!J199)</f>
        <v/>
      </c>
      <c r="L92" s="42" t="str">
        <f>+IF($L$5=0,"",'4. '!K199)</f>
        <v/>
      </c>
      <c r="M92" s="42" t="str">
        <f>+IF($M$5=0,"",'4. '!L199)</f>
        <v/>
      </c>
      <c r="N92" s="42" t="str">
        <f>+IF($N$5=0,"",'4. '!M199)</f>
        <v/>
      </c>
      <c r="O92" s="42" t="str">
        <f>+IF($O$5=0,"",'4. '!N199)</f>
        <v/>
      </c>
      <c r="P92" s="42" t="str">
        <f>+IF($P$5=0,"",'4. '!O199)</f>
        <v/>
      </c>
      <c r="Q92" s="42" t="str">
        <f>+IF($Q$5=0,"",'4. '!P199)</f>
        <v/>
      </c>
      <c r="R92" s="42" t="str">
        <f>+IF($R$5=0,"",'4. '!Q199)</f>
        <v/>
      </c>
      <c r="S92" s="42" t="str">
        <f>+IF($S$5=0,"",'4. '!R199)</f>
        <v/>
      </c>
      <c r="T92" s="42" t="str">
        <f>+IF($T$5=0,"",'4. '!S199)</f>
        <v/>
      </c>
      <c r="U92" s="42" t="str">
        <f>+IF($U$5=0,"",'4. '!T199)</f>
        <v/>
      </c>
      <c r="V92" s="42" t="str">
        <f>+IF($V$5=0,"",'4. '!U199)</f>
        <v/>
      </c>
      <c r="W92" s="42" t="str">
        <f>+IF($W$5=0,"",'4. '!V199)</f>
        <v/>
      </c>
      <c r="X92" s="42" t="str">
        <f>+IF($X$5=0,"",'4. '!W199)</f>
        <v/>
      </c>
      <c r="Y92" s="42" t="str">
        <f>+IF($Y$5=0,"",'4. '!X199)</f>
        <v/>
      </c>
      <c r="Z92" s="42" t="str">
        <f>+IF($Z$5=0,"",'4. '!Y199)</f>
        <v/>
      </c>
      <c r="AA92" s="42" t="str">
        <f>+IF($AA$5=0,"",'4. '!Z199)</f>
        <v/>
      </c>
      <c r="AB92" s="42" t="str">
        <f>+IF($AB$5=0,"",'4. '!AA199)</f>
        <v/>
      </c>
      <c r="AC92" s="42" t="str">
        <f>+IF($AC$5=0,"",'4. '!AB199)</f>
        <v/>
      </c>
      <c r="AD92" s="42" t="str">
        <f>+IF($AD$5=0,"",'4. '!AC199)</f>
        <v/>
      </c>
      <c r="AE92" s="42" t="str">
        <f>+IF($AE$5=0,"",'4. '!AD199)</f>
        <v/>
      </c>
      <c r="AF92" s="42" t="str">
        <f>+IF($AF$5=0,"",'4. '!AE199)</f>
        <v/>
      </c>
      <c r="AG92" s="50" t="e">
        <f t="shared" si="2"/>
        <v>#DIV/0!</v>
      </c>
      <c r="AH92" s="6"/>
    </row>
    <row r="93" spans="2:34" ht="15.75" thickBot="1" x14ac:dyDescent="0.3">
      <c r="B93" s="10" t="s">
        <v>240</v>
      </c>
      <c r="C93" s="42" t="str">
        <f>+IF($C$5=0,"",'4. '!B182)</f>
        <v/>
      </c>
      <c r="D93" s="42" t="str">
        <f>+IF($D$5=0,"",'4. '!C182)</f>
        <v/>
      </c>
      <c r="E93" s="42" t="str">
        <f>+IF($E$5=0,"",'4. '!D182)</f>
        <v/>
      </c>
      <c r="F93" s="42" t="str">
        <f>+IF($F$5=0,"",'4. '!E182)</f>
        <v/>
      </c>
      <c r="G93" s="42" t="str">
        <f>+IF($G$5=0,"",'4. '!F182)</f>
        <v/>
      </c>
      <c r="H93" s="42" t="str">
        <f>+IF($H$5=0,"",'4. '!G182)</f>
        <v/>
      </c>
      <c r="I93" s="42" t="str">
        <f>+IF($I$5=0,"",'4. '!H182)</f>
        <v/>
      </c>
      <c r="J93" s="42" t="str">
        <f>+IF($J$5=0,"",'4. '!I182)</f>
        <v/>
      </c>
      <c r="K93" s="42" t="str">
        <f>+IF($K$5=0,"",'4. '!J182)</f>
        <v/>
      </c>
      <c r="L93" s="42" t="str">
        <f>+IF($L$5=0,"",'4. '!K182)</f>
        <v/>
      </c>
      <c r="M93" s="42" t="str">
        <f>+IF($M$5=0,"",'4. '!L182)</f>
        <v/>
      </c>
      <c r="N93" s="42" t="str">
        <f>+IF($N$5=0,"",'4. '!M182)</f>
        <v/>
      </c>
      <c r="O93" s="42" t="str">
        <f>+IF($O$5=0,"",'4. '!N182)</f>
        <v/>
      </c>
      <c r="P93" s="42" t="str">
        <f>+IF($P$5=0,"",'4. '!O182)</f>
        <v/>
      </c>
      <c r="Q93" s="42" t="str">
        <f>+IF($Q$5=0,"",'4. '!P182)</f>
        <v/>
      </c>
      <c r="R93" s="42" t="str">
        <f>+IF($R$5=0,"",'4. '!Q182)</f>
        <v/>
      </c>
      <c r="S93" s="42" t="str">
        <f>+IF($S$5=0,"",'4. '!R182)</f>
        <v/>
      </c>
      <c r="T93" s="42" t="str">
        <f>+IF($T$5=0,"",'4. '!S182)</f>
        <v/>
      </c>
      <c r="U93" s="42" t="str">
        <f>+IF($U$5=0,"",'4. '!T182)</f>
        <v/>
      </c>
      <c r="V93" s="42" t="str">
        <f>+IF($V$5=0,"",'4. '!U182)</f>
        <v/>
      </c>
      <c r="W93" s="42" t="str">
        <f>+IF($W$5=0,"",'4. '!V182)</f>
        <v/>
      </c>
      <c r="X93" s="42" t="str">
        <f>+IF($X$5=0,"",'4. '!W182)</f>
        <v/>
      </c>
      <c r="Y93" s="42" t="str">
        <f>+IF($Y$5=0,"",'4. '!X182)</f>
        <v/>
      </c>
      <c r="Z93" s="42" t="str">
        <f>+IF($Z$5=0,"",'4. '!Y182)</f>
        <v/>
      </c>
      <c r="AA93" s="42" t="str">
        <f>+IF($AA$5=0,"",'4. '!Z182)</f>
        <v/>
      </c>
      <c r="AB93" s="42" t="str">
        <f>+IF($AB$5=0,"",'4. '!AA182)</f>
        <v/>
      </c>
      <c r="AC93" s="42" t="str">
        <f>+IF($AC$5=0,"",'4. '!AB182)</f>
        <v/>
      </c>
      <c r="AD93" s="42" t="str">
        <f>+IF($AD$5=0,"",'4. '!AC182)</f>
        <v/>
      </c>
      <c r="AE93" s="42" t="str">
        <f>+IF($AE$5=0,"",'4. '!AD182)</f>
        <v/>
      </c>
      <c r="AF93" s="42" t="str">
        <f>+IF($AF$5=0,"",'4. '!AE182)</f>
        <v/>
      </c>
      <c r="AG93" s="50" t="e">
        <f t="shared" si="2"/>
        <v>#DIV/0!</v>
      </c>
      <c r="AH93" s="6"/>
    </row>
    <row r="94" spans="2:34" ht="15.75" thickBot="1" x14ac:dyDescent="0.3">
      <c r="B94" s="11" t="s">
        <v>237</v>
      </c>
      <c r="C94" s="42" t="str">
        <f>+IF($C$5=0,"",'4. '!B179)</f>
        <v/>
      </c>
      <c r="D94" s="42" t="str">
        <f>+IF($D$5=0,"",'4. '!C179)</f>
        <v/>
      </c>
      <c r="E94" s="42" t="str">
        <f>+IF($E$5=0,"",'4. '!D179)</f>
        <v/>
      </c>
      <c r="F94" s="42" t="str">
        <f>+IF($F$5=0,"",'4. '!E179)</f>
        <v/>
      </c>
      <c r="G94" s="42" t="str">
        <f>+IF($G$5=0,"",'4. '!F179)</f>
        <v/>
      </c>
      <c r="H94" s="42" t="str">
        <f>+IF($H$5=0,"",'4. '!G179)</f>
        <v/>
      </c>
      <c r="I94" s="42" t="str">
        <f>+IF($I$5=0,"",'4. '!H179)</f>
        <v/>
      </c>
      <c r="J94" s="42" t="str">
        <f>+IF($J$5=0,"",'4. '!I179)</f>
        <v/>
      </c>
      <c r="K94" s="42" t="str">
        <f>+IF($K$5=0,"",'4. '!J179)</f>
        <v/>
      </c>
      <c r="L94" s="42" t="str">
        <f>+IF($L$5=0,"",'4. '!K179)</f>
        <v/>
      </c>
      <c r="M94" s="42" t="str">
        <f>+IF($M$5=0,"",'4. '!L179)</f>
        <v/>
      </c>
      <c r="N94" s="42" t="str">
        <f>+IF($N$5=0,"",'4. '!M179)</f>
        <v/>
      </c>
      <c r="O94" s="42" t="str">
        <f>+IF($O$5=0,"",'4. '!N179)</f>
        <v/>
      </c>
      <c r="P94" s="42" t="str">
        <f>+IF($P$5=0,"",'4. '!O179)</f>
        <v/>
      </c>
      <c r="Q94" s="42" t="str">
        <f>+IF($Q$5=0,"",'4. '!P179)</f>
        <v/>
      </c>
      <c r="R94" s="42" t="str">
        <f>+IF($R$5=0,"",'4. '!Q179)</f>
        <v/>
      </c>
      <c r="S94" s="42" t="str">
        <f>+IF($S$5=0,"",'4. '!R179)</f>
        <v/>
      </c>
      <c r="T94" s="42" t="str">
        <f>+IF($T$5=0,"",'4. '!S179)</f>
        <v/>
      </c>
      <c r="U94" s="42" t="str">
        <f>+IF($U$5=0,"",'4. '!T179)</f>
        <v/>
      </c>
      <c r="V94" s="42" t="str">
        <f>+IF($V$5=0,"",'4. '!U179)</f>
        <v/>
      </c>
      <c r="W94" s="42" t="str">
        <f>+IF($W$5=0,"",'4. '!V179)</f>
        <v/>
      </c>
      <c r="X94" s="42" t="str">
        <f>+IF($X$5=0,"",'4. '!W179)</f>
        <v/>
      </c>
      <c r="Y94" s="42" t="str">
        <f>+IF($Y$5=0,"",'4. '!X179)</f>
        <v/>
      </c>
      <c r="Z94" s="42" t="str">
        <f>+IF($Z$5=0,"",'4. '!Y179)</f>
        <v/>
      </c>
      <c r="AA94" s="42" t="str">
        <f>+IF($AA$5=0,"",'4. '!Z179)</f>
        <v/>
      </c>
      <c r="AB94" s="42" t="str">
        <f>+IF($AB$5=0,"",'4. '!AA179)</f>
        <v/>
      </c>
      <c r="AC94" s="42" t="str">
        <f>+IF($AC$5=0,"",'4. '!AB179)</f>
        <v/>
      </c>
      <c r="AD94" s="42" t="str">
        <f>+IF($AD$5=0,"",'4. '!AC179)</f>
        <v/>
      </c>
      <c r="AE94" s="42" t="str">
        <f>+IF($AE$5=0,"",'4. '!AD179)</f>
        <v/>
      </c>
      <c r="AF94" s="42" t="str">
        <f>+IF($AF$5=0,"",'4. '!AE179)</f>
        <v/>
      </c>
      <c r="AG94" s="50" t="e">
        <f t="shared" si="2"/>
        <v>#DIV/0!</v>
      </c>
      <c r="AH94" s="6"/>
    </row>
    <row r="95" spans="2:34" ht="15.75" thickBot="1" x14ac:dyDescent="0.3">
      <c r="B95" s="10" t="s">
        <v>242</v>
      </c>
      <c r="C95" s="42" t="str">
        <f>+IF($C$5=0,"",'4. '!B184)</f>
        <v/>
      </c>
      <c r="D95" s="42" t="str">
        <f>+IF($D$5=0,"",'4. '!C184)</f>
        <v/>
      </c>
      <c r="E95" s="42" t="str">
        <f>+IF($E$5=0,"",'4. '!D184)</f>
        <v/>
      </c>
      <c r="F95" s="42" t="str">
        <f>+IF($F$5=0,"",'4. '!E184)</f>
        <v/>
      </c>
      <c r="G95" s="42" t="str">
        <f>+IF($G$5=0,"",'4. '!F184)</f>
        <v/>
      </c>
      <c r="H95" s="42" t="str">
        <f>+IF($H$5=0,"",'4. '!G184)</f>
        <v/>
      </c>
      <c r="I95" s="42" t="str">
        <f>+IF($I$5=0,"",'4. '!H184)</f>
        <v/>
      </c>
      <c r="J95" s="42" t="str">
        <f>+IF($J$5=0,"",'4. '!I184)</f>
        <v/>
      </c>
      <c r="K95" s="42" t="str">
        <f>+IF($K$5=0,"",'4. '!J184)</f>
        <v/>
      </c>
      <c r="L95" s="42" t="str">
        <f>+IF($L$5=0,"",'4. '!K184)</f>
        <v/>
      </c>
      <c r="M95" s="42" t="str">
        <f>+IF($M$5=0,"",'4. '!L184)</f>
        <v/>
      </c>
      <c r="N95" s="42" t="str">
        <f>+IF($N$5=0,"",'4. '!M184)</f>
        <v/>
      </c>
      <c r="O95" s="42" t="str">
        <f>+IF($O$5=0,"",'4. '!N184)</f>
        <v/>
      </c>
      <c r="P95" s="42" t="str">
        <f>+IF($P$5=0,"",'4. '!O184)</f>
        <v/>
      </c>
      <c r="Q95" s="42" t="str">
        <f>+IF($Q$5=0,"",'4. '!P184)</f>
        <v/>
      </c>
      <c r="R95" s="42" t="str">
        <f>+IF($R$5=0,"",'4. '!Q184)</f>
        <v/>
      </c>
      <c r="S95" s="42" t="str">
        <f>+IF($S$5=0,"",'4. '!R184)</f>
        <v/>
      </c>
      <c r="T95" s="42" t="str">
        <f>+IF($T$5=0,"",'4. '!S184)</f>
        <v/>
      </c>
      <c r="U95" s="42" t="str">
        <f>+IF($U$5=0,"",'4. '!T184)</f>
        <v/>
      </c>
      <c r="V95" s="42" t="str">
        <f>+IF($V$5=0,"",'4. '!U184)</f>
        <v/>
      </c>
      <c r="W95" s="42" t="str">
        <f>+IF($W$5=0,"",'4. '!V184)</f>
        <v/>
      </c>
      <c r="X95" s="42" t="str">
        <f>+IF($X$5=0,"",'4. '!W184)</f>
        <v/>
      </c>
      <c r="Y95" s="42" t="str">
        <f>+IF($Y$5=0,"",'4. '!X184)</f>
        <v/>
      </c>
      <c r="Z95" s="42" t="str">
        <f>+IF($Z$5=0,"",'4. '!Y184)</f>
        <v/>
      </c>
      <c r="AA95" s="42" t="str">
        <f>+IF($AA$5=0,"",'4. '!Z184)</f>
        <v/>
      </c>
      <c r="AB95" s="42" t="str">
        <f>+IF($AB$5=0,"",'4. '!AA184)</f>
        <v/>
      </c>
      <c r="AC95" s="42" t="str">
        <f>+IF($AC$5=0,"",'4. '!AB184)</f>
        <v/>
      </c>
      <c r="AD95" s="42" t="str">
        <f>+IF($AD$5=0,"",'4. '!AC184)</f>
        <v/>
      </c>
      <c r="AE95" s="42" t="str">
        <f>+IF($AE$5=0,"",'4. '!AD184)</f>
        <v/>
      </c>
      <c r="AF95" s="42" t="str">
        <f>+IF($AF$5=0,"",'4. '!AE184)</f>
        <v/>
      </c>
      <c r="AG95" s="50" t="e">
        <f t="shared" si="2"/>
        <v>#DIV/0!</v>
      </c>
      <c r="AH95" s="6"/>
    </row>
    <row r="96" spans="2:34" ht="15.75" thickBot="1" x14ac:dyDescent="0.3">
      <c r="B96" s="11" t="s">
        <v>239</v>
      </c>
      <c r="C96" s="42" t="str">
        <f>+IF($C$5=0,"",'4. '!B181)</f>
        <v/>
      </c>
      <c r="D96" s="42" t="str">
        <f>+IF($D$5=0,"",'4. '!C181)</f>
        <v/>
      </c>
      <c r="E96" s="42" t="str">
        <f>+IF($E$5=0,"",'4. '!D181)</f>
        <v/>
      </c>
      <c r="F96" s="42" t="str">
        <f>+IF($F$5=0,"",'4. '!E181)</f>
        <v/>
      </c>
      <c r="G96" s="42" t="str">
        <f>+IF($G$5=0,"",'4. '!F181)</f>
        <v/>
      </c>
      <c r="H96" s="42" t="str">
        <f>+IF($H$5=0,"",'4. '!G181)</f>
        <v/>
      </c>
      <c r="I96" s="42" t="str">
        <f>+IF($I$5=0,"",'4. '!H181)</f>
        <v/>
      </c>
      <c r="J96" s="42" t="str">
        <f>+IF($J$5=0,"",'4. '!I181)</f>
        <v/>
      </c>
      <c r="K96" s="42" t="str">
        <f>+IF($K$5=0,"",'4. '!J181)</f>
        <v/>
      </c>
      <c r="L96" s="42" t="str">
        <f>+IF($L$5=0,"",'4. '!K181)</f>
        <v/>
      </c>
      <c r="M96" s="42" t="str">
        <f>+IF($M$5=0,"",'4. '!L181)</f>
        <v/>
      </c>
      <c r="N96" s="42" t="str">
        <f>+IF($N$5=0,"",'4. '!M181)</f>
        <v/>
      </c>
      <c r="O96" s="42" t="str">
        <f>+IF($O$5=0,"",'4. '!N181)</f>
        <v/>
      </c>
      <c r="P96" s="42" t="str">
        <f>+IF($P$5=0,"",'4. '!O181)</f>
        <v/>
      </c>
      <c r="Q96" s="42" t="str">
        <f>+IF($Q$5=0,"",'4. '!P181)</f>
        <v/>
      </c>
      <c r="R96" s="42" t="str">
        <f>+IF($R$5=0,"",'4. '!Q181)</f>
        <v/>
      </c>
      <c r="S96" s="42" t="str">
        <f>+IF($S$5=0,"",'4. '!R181)</f>
        <v/>
      </c>
      <c r="T96" s="42" t="str">
        <f>+IF($T$5=0,"",'4. '!S181)</f>
        <v/>
      </c>
      <c r="U96" s="42" t="str">
        <f>+IF($U$5=0,"",'4. '!T181)</f>
        <v/>
      </c>
      <c r="V96" s="42" t="str">
        <f>+IF($V$5=0,"",'4. '!U181)</f>
        <v/>
      </c>
      <c r="W96" s="42" t="str">
        <f>+IF($W$5=0,"",'4. '!V181)</f>
        <v/>
      </c>
      <c r="X96" s="42" t="str">
        <f>+IF($X$5=0,"",'4. '!W181)</f>
        <v/>
      </c>
      <c r="Y96" s="42" t="str">
        <f>+IF($Y$5=0,"",'4. '!X181)</f>
        <v/>
      </c>
      <c r="Z96" s="42" t="str">
        <f>+IF($Z$5=0,"",'4. '!Y181)</f>
        <v/>
      </c>
      <c r="AA96" s="42" t="str">
        <f>+IF($AA$5=0,"",'4. '!Z181)</f>
        <v/>
      </c>
      <c r="AB96" s="42" t="str">
        <f>+IF($AB$5=0,"",'4. '!AA181)</f>
        <v/>
      </c>
      <c r="AC96" s="42" t="str">
        <f>+IF($AC$5=0,"",'4. '!AB181)</f>
        <v/>
      </c>
      <c r="AD96" s="42" t="str">
        <f>+IF($AD$5=0,"",'4. '!AC181)</f>
        <v/>
      </c>
      <c r="AE96" s="42" t="str">
        <f>+IF($AE$5=0,"",'4. '!AD181)</f>
        <v/>
      </c>
      <c r="AF96" s="42" t="str">
        <f>+IF($AF$5=0,"",'4. '!AE181)</f>
        <v/>
      </c>
      <c r="AG96" s="50" t="e">
        <f t="shared" si="2"/>
        <v>#DIV/0!</v>
      </c>
      <c r="AH96" s="6"/>
    </row>
    <row r="97" spans="1:36" ht="15.75" thickBot="1" x14ac:dyDescent="0.3">
      <c r="B97" s="10" t="s">
        <v>231</v>
      </c>
      <c r="C97" s="42" t="str">
        <f>+IF($C$5=0,"",'4. '!B173)</f>
        <v/>
      </c>
      <c r="D97" s="42" t="str">
        <f>+IF($D$5=0,"",'4. '!C173)</f>
        <v/>
      </c>
      <c r="E97" s="42" t="str">
        <f>+IF($E$5=0,"",'4. '!D173)</f>
        <v/>
      </c>
      <c r="F97" s="42" t="str">
        <f>+IF($F$5=0,"",'4. '!E173)</f>
        <v/>
      </c>
      <c r="G97" s="42" t="str">
        <f>+IF($G$5=0,"",'4. '!F173)</f>
        <v/>
      </c>
      <c r="H97" s="42" t="str">
        <f>+IF($H$5=0,"",'4. '!G173)</f>
        <v/>
      </c>
      <c r="I97" s="42" t="str">
        <f>+IF($I$5=0,"",'4. '!H173)</f>
        <v/>
      </c>
      <c r="J97" s="42" t="str">
        <f>+IF($J$5=0,"",'4. '!I173)</f>
        <v/>
      </c>
      <c r="K97" s="42" t="str">
        <f>+IF($K$5=0,"",'4. '!J173)</f>
        <v/>
      </c>
      <c r="L97" s="42" t="str">
        <f>+IF($L$5=0,"",'4. '!K173)</f>
        <v/>
      </c>
      <c r="M97" s="42" t="str">
        <f>+IF($M$5=0,"",'4. '!L173)</f>
        <v/>
      </c>
      <c r="N97" s="42" t="str">
        <f>+IF($N$5=0,"",'4. '!M173)</f>
        <v/>
      </c>
      <c r="O97" s="42" t="str">
        <f>+IF($O$5=0,"",'4. '!N173)</f>
        <v/>
      </c>
      <c r="P97" s="42" t="str">
        <f>+IF($P$5=0,"",'4. '!O173)</f>
        <v/>
      </c>
      <c r="Q97" s="42" t="str">
        <f>+IF($Q$5=0,"",'4. '!P173)</f>
        <v/>
      </c>
      <c r="R97" s="42" t="str">
        <f>+IF($R$5=0,"",'4. '!Q173)</f>
        <v/>
      </c>
      <c r="S97" s="42" t="str">
        <f>+IF($S$5=0,"",'4. '!R173)</f>
        <v/>
      </c>
      <c r="T97" s="42" t="str">
        <f>+IF($T$5=0,"",'4. '!S173)</f>
        <v/>
      </c>
      <c r="U97" s="42" t="str">
        <f>+IF($U$5=0,"",'4. '!T173)</f>
        <v/>
      </c>
      <c r="V97" s="42" t="str">
        <f>+IF($V$5=0,"",'4. '!U173)</f>
        <v/>
      </c>
      <c r="W97" s="42" t="str">
        <f>+IF($W$5=0,"",'4. '!V173)</f>
        <v/>
      </c>
      <c r="X97" s="42" t="str">
        <f>+IF($X$5=0,"",'4. '!W173)</f>
        <v/>
      </c>
      <c r="Y97" s="42" t="str">
        <f>+IF($Y$5=0,"",'4. '!X173)</f>
        <v/>
      </c>
      <c r="Z97" s="42" t="str">
        <f>+IF($Z$5=0,"",'4. '!Y173)</f>
        <v/>
      </c>
      <c r="AA97" s="42" t="str">
        <f>+IF($AA$5=0,"",'4. '!Z173)</f>
        <v/>
      </c>
      <c r="AB97" s="42" t="str">
        <f>+IF($AB$5=0,"",'4. '!AA173)</f>
        <v/>
      </c>
      <c r="AC97" s="42" t="str">
        <f>+IF($AC$5=0,"",'4. '!AB173)</f>
        <v/>
      </c>
      <c r="AD97" s="42" t="str">
        <f>+IF($AD$5=0,"",'4. '!AC173)</f>
        <v/>
      </c>
      <c r="AE97" s="42" t="str">
        <f>+IF($AE$5=0,"",'4. '!AD173)</f>
        <v/>
      </c>
      <c r="AF97" s="42" t="str">
        <f>+IF($AF$5=0,"",'4. '!AE173)</f>
        <v/>
      </c>
      <c r="AG97" s="50" t="e">
        <f t="shared" si="2"/>
        <v>#DIV/0!</v>
      </c>
      <c r="AH97" s="6"/>
    </row>
    <row r="98" spans="1:36" s="1" customFormat="1" ht="15.75" thickBot="1" x14ac:dyDescent="0.3">
      <c r="A98"/>
      <c r="B98" s="11" t="s">
        <v>228</v>
      </c>
      <c r="C98" s="42" t="str">
        <f>+IF($C$5=0,"",'4. '!B170)</f>
        <v/>
      </c>
      <c r="D98" s="42" t="str">
        <f>+IF($D$5=0,"",'4. '!C170)</f>
        <v/>
      </c>
      <c r="E98" s="42" t="str">
        <f>+IF($E$5=0,"",'4. '!D170)</f>
        <v/>
      </c>
      <c r="F98" s="42" t="str">
        <f>+IF($F$5=0,"",'4. '!E170)</f>
        <v/>
      </c>
      <c r="G98" s="42" t="str">
        <f>+IF($G$5=0,"",'4. '!F170)</f>
        <v/>
      </c>
      <c r="H98" s="42" t="str">
        <f>+IF($H$5=0,"",'4. '!G170)</f>
        <v/>
      </c>
      <c r="I98" s="42" t="str">
        <f>+IF($I$5=0,"",'4. '!H170)</f>
        <v/>
      </c>
      <c r="J98" s="42" t="str">
        <f>+IF($J$5=0,"",'4. '!I170)</f>
        <v/>
      </c>
      <c r="K98" s="42" t="str">
        <f>+IF($K$5=0,"",'4. '!J170)</f>
        <v/>
      </c>
      <c r="L98" s="42" t="str">
        <f>+IF($L$5=0,"",'4. '!K170)</f>
        <v/>
      </c>
      <c r="M98" s="42" t="str">
        <f>+IF($M$5=0,"",'4. '!L170)</f>
        <v/>
      </c>
      <c r="N98" s="42" t="str">
        <f>+IF($N$5=0,"",'4. '!M170)</f>
        <v/>
      </c>
      <c r="O98" s="42" t="str">
        <f>+IF($O$5=0,"",'4. '!N170)</f>
        <v/>
      </c>
      <c r="P98" s="42" t="str">
        <f>+IF($P$5=0,"",'4. '!O170)</f>
        <v/>
      </c>
      <c r="Q98" s="42" t="str">
        <f>+IF($Q$5=0,"",'4. '!P170)</f>
        <v/>
      </c>
      <c r="R98" s="42" t="str">
        <f>+IF($R$5=0,"",'4. '!Q170)</f>
        <v/>
      </c>
      <c r="S98" s="42" t="str">
        <f>+IF($S$5=0,"",'4. '!R170)</f>
        <v/>
      </c>
      <c r="T98" s="42" t="str">
        <f>+IF($T$5=0,"",'4. '!S170)</f>
        <v/>
      </c>
      <c r="U98" s="42" t="str">
        <f>+IF($U$5=0,"",'4. '!T170)</f>
        <v/>
      </c>
      <c r="V98" s="42" t="str">
        <f>+IF($V$5=0,"",'4. '!U170)</f>
        <v/>
      </c>
      <c r="W98" s="42" t="str">
        <f>+IF($W$5=0,"",'4. '!V170)</f>
        <v/>
      </c>
      <c r="X98" s="42" t="str">
        <f>+IF($X$5=0,"",'4. '!W170)</f>
        <v/>
      </c>
      <c r="Y98" s="42" t="str">
        <f>+IF($Y$5=0,"",'4. '!X170)</f>
        <v/>
      </c>
      <c r="Z98" s="42" t="str">
        <f>+IF($Z$5=0,"",'4. '!Y170)</f>
        <v/>
      </c>
      <c r="AA98" s="42" t="str">
        <f>+IF($AA$5=0,"",'4. '!Z170)</f>
        <v/>
      </c>
      <c r="AB98" s="42" t="str">
        <f>+IF($AB$5=0,"",'4. '!AA170)</f>
        <v/>
      </c>
      <c r="AC98" s="42" t="str">
        <f>+IF($AC$5=0,"",'4. '!AB170)</f>
        <v/>
      </c>
      <c r="AD98" s="42" t="str">
        <f>+IF($AD$5=0,"",'4. '!AC170)</f>
        <v/>
      </c>
      <c r="AE98" s="42" t="str">
        <f>+IF($AE$5=0,"",'4. '!AD170)</f>
        <v/>
      </c>
      <c r="AF98" s="42" t="str">
        <f>+IF($AF$5=0,"",'4. '!AE170)</f>
        <v/>
      </c>
      <c r="AG98" s="50" t="e">
        <f t="shared" si="2"/>
        <v>#DIV/0!</v>
      </c>
      <c r="AH98" s="6"/>
      <c r="AI98"/>
      <c r="AJ98"/>
    </row>
    <row r="99" spans="1:36" s="1" customFormat="1" ht="15.75" thickBot="1" x14ac:dyDescent="0.3">
      <c r="A99"/>
      <c r="B99" s="10" t="s">
        <v>233</v>
      </c>
      <c r="C99" s="42" t="str">
        <f>+IF($C$5=0,"",'4. '!B175)</f>
        <v/>
      </c>
      <c r="D99" s="42" t="str">
        <f>+IF($D$5=0,"",'4. '!C175)</f>
        <v/>
      </c>
      <c r="E99" s="42" t="str">
        <f>+IF($E$5=0,"",'4. '!D175)</f>
        <v/>
      </c>
      <c r="F99" s="42" t="str">
        <f>+IF($F$5=0,"",'4. '!E175)</f>
        <v/>
      </c>
      <c r="G99" s="42" t="str">
        <f>+IF($G$5=0,"",'4. '!F175)</f>
        <v/>
      </c>
      <c r="H99" s="42" t="str">
        <f>+IF($H$5=0,"",'4. '!G175)</f>
        <v/>
      </c>
      <c r="I99" s="42" t="str">
        <f>+IF($I$5=0,"",'4. '!H175)</f>
        <v/>
      </c>
      <c r="J99" s="42" t="str">
        <f>+IF($J$5=0,"",'4. '!I175)</f>
        <v/>
      </c>
      <c r="K99" s="42" t="str">
        <f>+IF($K$5=0,"",'4. '!J175)</f>
        <v/>
      </c>
      <c r="L99" s="42" t="str">
        <f>+IF($L$5=0,"",'4. '!K175)</f>
        <v/>
      </c>
      <c r="M99" s="42" t="str">
        <f>+IF($M$5=0,"",'4. '!L175)</f>
        <v/>
      </c>
      <c r="N99" s="42" t="str">
        <f>+IF($N$5=0,"",'4. '!M175)</f>
        <v/>
      </c>
      <c r="O99" s="42" t="str">
        <f>+IF($O$5=0,"",'4. '!N175)</f>
        <v/>
      </c>
      <c r="P99" s="42" t="str">
        <f>+IF($P$5=0,"",'4. '!O175)</f>
        <v/>
      </c>
      <c r="Q99" s="42" t="str">
        <f>+IF($Q$5=0,"",'4. '!P175)</f>
        <v/>
      </c>
      <c r="R99" s="42" t="str">
        <f>+IF($R$5=0,"",'4. '!Q175)</f>
        <v/>
      </c>
      <c r="S99" s="42" t="str">
        <f>+IF($S$5=0,"",'4. '!R175)</f>
        <v/>
      </c>
      <c r="T99" s="42" t="str">
        <f>+IF($T$5=0,"",'4. '!S175)</f>
        <v/>
      </c>
      <c r="U99" s="42" t="str">
        <f>+IF($U$5=0,"",'4. '!T175)</f>
        <v/>
      </c>
      <c r="V99" s="42" t="str">
        <f>+IF($V$5=0,"",'4. '!U175)</f>
        <v/>
      </c>
      <c r="W99" s="42" t="str">
        <f>+IF($W$5=0,"",'4. '!V175)</f>
        <v/>
      </c>
      <c r="X99" s="42" t="str">
        <f>+IF($X$5=0,"",'4. '!W175)</f>
        <v/>
      </c>
      <c r="Y99" s="42" t="str">
        <f>+IF($Y$5=0,"",'4. '!X175)</f>
        <v/>
      </c>
      <c r="Z99" s="42" t="str">
        <f>+IF($Z$5=0,"",'4. '!Y175)</f>
        <v/>
      </c>
      <c r="AA99" s="42" t="str">
        <f>+IF($AA$5=0,"",'4. '!Z175)</f>
        <v/>
      </c>
      <c r="AB99" s="42" t="str">
        <f>+IF($AB$5=0,"",'4. '!AA175)</f>
        <v/>
      </c>
      <c r="AC99" s="42" t="str">
        <f>+IF($AC$5=0,"",'4. '!AB175)</f>
        <v/>
      </c>
      <c r="AD99" s="42" t="str">
        <f>+IF($AD$5=0,"",'4. '!AC175)</f>
        <v/>
      </c>
      <c r="AE99" s="42" t="str">
        <f>+IF($AE$5=0,"",'4. '!AD175)</f>
        <v/>
      </c>
      <c r="AF99" s="42" t="str">
        <f>+IF($AF$5=0,"",'4. '!AE175)</f>
        <v/>
      </c>
      <c r="AG99" s="50" t="e">
        <f t="shared" si="2"/>
        <v>#DIV/0!</v>
      </c>
      <c r="AH99" s="6"/>
      <c r="AI99"/>
      <c r="AJ99"/>
    </row>
    <row r="100" spans="1:36" s="1" customFormat="1" ht="15.75" thickBot="1" x14ac:dyDescent="0.3">
      <c r="A100"/>
      <c r="B100" s="11" t="s">
        <v>230</v>
      </c>
      <c r="C100" s="42" t="str">
        <f>+IF($C$5=0,"",'4. '!B172)</f>
        <v/>
      </c>
      <c r="D100" s="42" t="str">
        <f>+IF($D$5=0,"",'4. '!C172)</f>
        <v/>
      </c>
      <c r="E100" s="42" t="str">
        <f>+IF($E$5=0,"",'4. '!D172)</f>
        <v/>
      </c>
      <c r="F100" s="42" t="str">
        <f>+IF($F$5=0,"",'4. '!E172)</f>
        <v/>
      </c>
      <c r="G100" s="42" t="str">
        <f>+IF($G$5=0,"",'4. '!F172)</f>
        <v/>
      </c>
      <c r="H100" s="42" t="str">
        <f>+IF($H$5=0,"",'4. '!G172)</f>
        <v/>
      </c>
      <c r="I100" s="42" t="str">
        <f>+IF($I$5=0,"",'4. '!H172)</f>
        <v/>
      </c>
      <c r="J100" s="42" t="str">
        <f>+IF($J$5=0,"",'4. '!I172)</f>
        <v/>
      </c>
      <c r="K100" s="42" t="str">
        <f>+IF($K$5=0,"",'4. '!J172)</f>
        <v/>
      </c>
      <c r="L100" s="42" t="str">
        <f>+IF($L$5=0,"",'4. '!K172)</f>
        <v/>
      </c>
      <c r="M100" s="42" t="str">
        <f>+IF($M$5=0,"",'4. '!L172)</f>
        <v/>
      </c>
      <c r="N100" s="42" t="str">
        <f>+IF($N$5=0,"",'4. '!M172)</f>
        <v/>
      </c>
      <c r="O100" s="42" t="str">
        <f>+IF($O$5=0,"",'4. '!N172)</f>
        <v/>
      </c>
      <c r="P100" s="42" t="str">
        <f>+IF($P$5=0,"",'4. '!O172)</f>
        <v/>
      </c>
      <c r="Q100" s="42" t="str">
        <f>+IF($Q$5=0,"",'4. '!P172)</f>
        <v/>
      </c>
      <c r="R100" s="42" t="str">
        <f>+IF($R$5=0,"",'4. '!Q172)</f>
        <v/>
      </c>
      <c r="S100" s="42" t="str">
        <f>+IF($S$5=0,"",'4. '!R172)</f>
        <v/>
      </c>
      <c r="T100" s="42" t="str">
        <f>+IF($T$5=0,"",'4. '!S172)</f>
        <v/>
      </c>
      <c r="U100" s="42" t="str">
        <f>+IF($U$5=0,"",'4. '!T172)</f>
        <v/>
      </c>
      <c r="V100" s="42" t="str">
        <f>+IF($V$5=0,"",'4. '!U172)</f>
        <v/>
      </c>
      <c r="W100" s="42" t="str">
        <f>+IF($W$5=0,"",'4. '!V172)</f>
        <v/>
      </c>
      <c r="X100" s="42" t="str">
        <f>+IF($X$5=0,"",'4. '!W172)</f>
        <v/>
      </c>
      <c r="Y100" s="42" t="str">
        <f>+IF($Y$5=0,"",'4. '!X172)</f>
        <v/>
      </c>
      <c r="Z100" s="42" t="str">
        <f>+IF($Z$5=0,"",'4. '!Y172)</f>
        <v/>
      </c>
      <c r="AA100" s="42" t="str">
        <f>+IF($AA$5=0,"",'4. '!Z172)</f>
        <v/>
      </c>
      <c r="AB100" s="42" t="str">
        <f>+IF($AB$5=0,"",'4. '!AA172)</f>
        <v/>
      </c>
      <c r="AC100" s="42" t="str">
        <f>+IF($AC$5=0,"",'4. '!AB172)</f>
        <v/>
      </c>
      <c r="AD100" s="42" t="str">
        <f>+IF($AD$5=0,"",'4. '!AC172)</f>
        <v/>
      </c>
      <c r="AE100" s="42" t="str">
        <f>+IF($AE$5=0,"",'4. '!AD172)</f>
        <v/>
      </c>
      <c r="AF100" s="42" t="str">
        <f>+IF($AF$5=0,"",'4. '!AE172)</f>
        <v/>
      </c>
      <c r="AG100" s="50" t="e">
        <f t="shared" si="2"/>
        <v>#DIV/0!</v>
      </c>
      <c r="AH100" s="6"/>
      <c r="AI100"/>
      <c r="AJ100"/>
    </row>
    <row r="101" spans="1:36" s="1" customFormat="1" ht="15.75" thickBot="1" x14ac:dyDescent="0.3">
      <c r="A101"/>
      <c r="B101" s="10" t="s">
        <v>216</v>
      </c>
      <c r="C101" s="42" t="str">
        <f>+IF($C$5=0,"",'4. '!B158)</f>
        <v/>
      </c>
      <c r="D101" s="42" t="str">
        <f>+IF($D$5=0,"",'4. '!C158)</f>
        <v/>
      </c>
      <c r="E101" s="42" t="str">
        <f>+IF($E$5=0,"",'4. '!D158)</f>
        <v/>
      </c>
      <c r="F101" s="42" t="str">
        <f>+IF($F$5=0,"",'4. '!E158)</f>
        <v/>
      </c>
      <c r="G101" s="42" t="str">
        <f>+IF($G$5=0,"",'4. '!F158)</f>
        <v/>
      </c>
      <c r="H101" s="42" t="str">
        <f>+IF($H$5=0,"",'4. '!G158)</f>
        <v/>
      </c>
      <c r="I101" s="42" t="str">
        <f>+IF($I$5=0,"",'4. '!H158)</f>
        <v/>
      </c>
      <c r="J101" s="42" t="str">
        <f>+IF($J$5=0,"",'4. '!I158)</f>
        <v/>
      </c>
      <c r="K101" s="42" t="str">
        <f>+IF($K$5=0,"",'4. '!J158)</f>
        <v/>
      </c>
      <c r="L101" s="42" t="str">
        <f>+IF($L$5=0,"",'4. '!K158)</f>
        <v/>
      </c>
      <c r="M101" s="42" t="str">
        <f>+IF($M$5=0,"",'4. '!L158)</f>
        <v/>
      </c>
      <c r="N101" s="42" t="str">
        <f>+IF($N$5=0,"",'4. '!M158)</f>
        <v/>
      </c>
      <c r="O101" s="42" t="str">
        <f>+IF($O$5=0,"",'4. '!N158)</f>
        <v/>
      </c>
      <c r="P101" s="42" t="str">
        <f>+IF($P$5=0,"",'4. '!O158)</f>
        <v/>
      </c>
      <c r="Q101" s="42" t="str">
        <f>+IF($Q$5=0,"",'4. '!P158)</f>
        <v/>
      </c>
      <c r="R101" s="42" t="str">
        <f>+IF($R$5=0,"",'4. '!Q158)</f>
        <v/>
      </c>
      <c r="S101" s="42" t="str">
        <f>+IF($S$5=0,"",'4. '!R158)</f>
        <v/>
      </c>
      <c r="T101" s="42" t="str">
        <f>+IF($T$5=0,"",'4. '!S158)</f>
        <v/>
      </c>
      <c r="U101" s="42" t="str">
        <f>+IF($U$5=0,"",'4. '!T158)</f>
        <v/>
      </c>
      <c r="V101" s="42" t="str">
        <f>+IF($V$5=0,"",'4. '!U158)</f>
        <v/>
      </c>
      <c r="W101" s="42" t="str">
        <f>+IF($W$5=0,"",'4. '!V158)</f>
        <v/>
      </c>
      <c r="X101" s="42" t="str">
        <f>+IF($X$5=0,"",'4. '!W158)</f>
        <v/>
      </c>
      <c r="Y101" s="42" t="str">
        <f>+IF($Y$5=0,"",'4. '!X158)</f>
        <v/>
      </c>
      <c r="Z101" s="42" t="str">
        <f>+IF($Z$5=0,"",'4. '!Y158)</f>
        <v/>
      </c>
      <c r="AA101" s="42" t="str">
        <f>+IF($AA$5=0,"",'4. '!Z158)</f>
        <v/>
      </c>
      <c r="AB101" s="42" t="str">
        <f>+IF($AB$5=0,"",'4. '!AA158)</f>
        <v/>
      </c>
      <c r="AC101" s="42" t="str">
        <f>+IF($AC$5=0,"",'4. '!AB158)</f>
        <v/>
      </c>
      <c r="AD101" s="42" t="str">
        <f>+IF($AD$5=0,"",'4. '!AC158)</f>
        <v/>
      </c>
      <c r="AE101" s="42" t="str">
        <f>+IF($AE$5=0,"",'4. '!AD158)</f>
        <v/>
      </c>
      <c r="AF101" s="42" t="str">
        <f>+IF($AF$5=0,"",'4. '!AE158)</f>
        <v/>
      </c>
      <c r="AG101" s="50" t="e">
        <f t="shared" si="2"/>
        <v>#DIV/0!</v>
      </c>
      <c r="AH101" s="6"/>
      <c r="AI101"/>
      <c r="AJ101"/>
    </row>
    <row r="102" spans="1:36" s="1" customFormat="1" ht="15.75" thickBot="1" x14ac:dyDescent="0.3">
      <c r="A102"/>
      <c r="B102" s="11" t="s">
        <v>218</v>
      </c>
      <c r="C102" s="42" t="str">
        <f>+IF($C$5=0,"",'4. '!B160)</f>
        <v/>
      </c>
      <c r="D102" s="42" t="str">
        <f>+IF($D$5=0,"",'4. '!C160)</f>
        <v/>
      </c>
      <c r="E102" s="42" t="str">
        <f>+IF($E$5=0,"",'4. '!D160)</f>
        <v/>
      </c>
      <c r="F102" s="42" t="str">
        <f>+IF($F$5=0,"",'4. '!E160)</f>
        <v/>
      </c>
      <c r="G102" s="42" t="str">
        <f>+IF($G$5=0,"",'4. '!F160)</f>
        <v/>
      </c>
      <c r="H102" s="42" t="str">
        <f>+IF($H$5=0,"",'4. '!G160)</f>
        <v/>
      </c>
      <c r="I102" s="42" t="str">
        <f>+IF($I$5=0,"",'4. '!H160)</f>
        <v/>
      </c>
      <c r="J102" s="42" t="str">
        <f>+IF($J$5=0,"",'4. '!I160)</f>
        <v/>
      </c>
      <c r="K102" s="42" t="str">
        <f>+IF($K$5=0,"",'4. '!J160)</f>
        <v/>
      </c>
      <c r="L102" s="42" t="str">
        <f>+IF($L$5=0,"",'4. '!K160)</f>
        <v/>
      </c>
      <c r="M102" s="42" t="str">
        <f>+IF($M$5=0,"",'4. '!L160)</f>
        <v/>
      </c>
      <c r="N102" s="42" t="str">
        <f>+IF($N$5=0,"",'4. '!M160)</f>
        <v/>
      </c>
      <c r="O102" s="42" t="str">
        <f>+IF($O$5=0,"",'4. '!N160)</f>
        <v/>
      </c>
      <c r="P102" s="42" t="str">
        <f>+IF($P$5=0,"",'4. '!O160)</f>
        <v/>
      </c>
      <c r="Q102" s="42" t="str">
        <f>+IF($Q$5=0,"",'4. '!P160)</f>
        <v/>
      </c>
      <c r="R102" s="42" t="str">
        <f>+IF($R$5=0,"",'4. '!Q160)</f>
        <v/>
      </c>
      <c r="S102" s="42" t="str">
        <f>+IF($S$5=0,"",'4. '!R160)</f>
        <v/>
      </c>
      <c r="T102" s="42" t="str">
        <f>+IF($T$5=0,"",'4. '!S160)</f>
        <v/>
      </c>
      <c r="U102" s="42" t="str">
        <f>+IF($U$5=0,"",'4. '!T160)</f>
        <v/>
      </c>
      <c r="V102" s="42" t="str">
        <f>+IF($V$5=0,"",'4. '!U160)</f>
        <v/>
      </c>
      <c r="W102" s="42" t="str">
        <f>+IF($W$5=0,"",'4. '!V160)</f>
        <v/>
      </c>
      <c r="X102" s="42" t="str">
        <f>+IF($X$5=0,"",'4. '!W160)</f>
        <v/>
      </c>
      <c r="Y102" s="42" t="str">
        <f>+IF($Y$5=0,"",'4. '!X160)</f>
        <v/>
      </c>
      <c r="Z102" s="42" t="str">
        <f>+IF($Z$5=0,"",'4. '!Y160)</f>
        <v/>
      </c>
      <c r="AA102" s="42" t="str">
        <f>+IF($AA$5=0,"",'4. '!Z160)</f>
        <v/>
      </c>
      <c r="AB102" s="42" t="str">
        <f>+IF($AB$5=0,"",'4. '!AA160)</f>
        <v/>
      </c>
      <c r="AC102" s="42" t="str">
        <f>+IF($AC$5=0,"",'4. '!AB160)</f>
        <v/>
      </c>
      <c r="AD102" s="42" t="str">
        <f>+IF($AD$5=0,"",'4. '!AC160)</f>
        <v/>
      </c>
      <c r="AE102" s="42" t="str">
        <f>+IF($AE$5=0,"",'4. '!AD160)</f>
        <v/>
      </c>
      <c r="AF102" s="42" t="str">
        <f>+IF($AF$5=0,"",'4. '!AE160)</f>
        <v/>
      </c>
      <c r="AG102" s="50" t="e">
        <f t="shared" si="2"/>
        <v>#DIV/0!</v>
      </c>
      <c r="AH102" s="6"/>
      <c r="AI102"/>
      <c r="AJ102"/>
    </row>
    <row r="103" spans="1:36" s="1" customFormat="1" ht="15.75" thickBot="1" x14ac:dyDescent="0.3">
      <c r="A103"/>
      <c r="B103" s="10" t="s">
        <v>123</v>
      </c>
      <c r="C103" s="42" t="str">
        <f>+IF($C$5=0,"",'4. '!B77)</f>
        <v/>
      </c>
      <c r="D103" s="42" t="str">
        <f>+IF($D$5=0,"",'4. '!C77)</f>
        <v/>
      </c>
      <c r="E103" s="42" t="str">
        <f>+IF($E$5=0,"",'4. '!D77)</f>
        <v/>
      </c>
      <c r="F103" s="42" t="str">
        <f>+IF($F$5=0,"",'4. '!E77)</f>
        <v/>
      </c>
      <c r="G103" s="42" t="str">
        <f>+IF($G$5=0,"",'4. '!F77)</f>
        <v/>
      </c>
      <c r="H103" s="42" t="str">
        <f>+IF($H$5=0,"",'4. '!G77)</f>
        <v/>
      </c>
      <c r="I103" s="42" t="str">
        <f>+IF($I$5=0,"",'4. '!H77)</f>
        <v/>
      </c>
      <c r="J103" s="42" t="str">
        <f>+IF($J$5=0,"",'4. '!I77)</f>
        <v/>
      </c>
      <c r="K103" s="42" t="str">
        <f>+IF($K$5=0,"",'4. '!J77)</f>
        <v/>
      </c>
      <c r="L103" s="42" t="str">
        <f>+IF($L$5=0,"",'4. '!K77)</f>
        <v/>
      </c>
      <c r="M103" s="42" t="str">
        <f>+IF($M$5=0,"",'4. '!L77)</f>
        <v/>
      </c>
      <c r="N103" s="42" t="str">
        <f>+IF($N$5=0,"",'4. '!M77)</f>
        <v/>
      </c>
      <c r="O103" s="42" t="str">
        <f>+IF($O$5=0,"",'4. '!N77)</f>
        <v/>
      </c>
      <c r="P103" s="42" t="str">
        <f>+IF($P$5=0,"",'4. '!O77)</f>
        <v/>
      </c>
      <c r="Q103" s="42" t="str">
        <f>+IF($Q$5=0,"",'4. '!P77)</f>
        <v/>
      </c>
      <c r="R103" s="42" t="str">
        <f>+IF($R$5=0,"",'4. '!Q77)</f>
        <v/>
      </c>
      <c r="S103" s="42" t="str">
        <f>+IF($S$5=0,"",'4. '!R77)</f>
        <v/>
      </c>
      <c r="T103" s="42" t="str">
        <f>+IF($T$5=0,"",'4. '!S77)</f>
        <v/>
      </c>
      <c r="U103" s="42" t="str">
        <f>+IF($U$5=0,"",'4. '!T77)</f>
        <v/>
      </c>
      <c r="V103" s="42" t="str">
        <f>+IF($V$5=0,"",'4. '!U77)</f>
        <v/>
      </c>
      <c r="W103" s="42" t="str">
        <f>+IF($W$5=0,"",'4. '!V77)</f>
        <v/>
      </c>
      <c r="X103" s="42" t="str">
        <f>+IF($X$5=0,"",'4. '!W77)</f>
        <v/>
      </c>
      <c r="Y103" s="42" t="str">
        <f>+IF($Y$5=0,"",'4. '!X77)</f>
        <v/>
      </c>
      <c r="Z103" s="42" t="str">
        <f>+IF($Z$5=0,"",'4. '!Y77)</f>
        <v/>
      </c>
      <c r="AA103" s="42" t="str">
        <f>+IF($AA$5=0,"",'4. '!Z77)</f>
        <v/>
      </c>
      <c r="AB103" s="42" t="str">
        <f>+IF($AB$5=0,"",'4. '!AA77)</f>
        <v/>
      </c>
      <c r="AC103" s="42" t="str">
        <f>+IF($AC$5=0,"",'4. '!AB77)</f>
        <v/>
      </c>
      <c r="AD103" s="42" t="str">
        <f>+IF($AD$5=0,"",'4. '!AC77)</f>
        <v/>
      </c>
      <c r="AE103" s="42" t="str">
        <f>+IF($AE$5=0,"",'4. '!AD77)</f>
        <v/>
      </c>
      <c r="AF103" s="42" t="str">
        <f>+IF($AF$5=0,"",'4. '!AE77)</f>
        <v/>
      </c>
      <c r="AG103" s="50" t="e">
        <f t="shared" si="2"/>
        <v>#DIV/0!</v>
      </c>
      <c r="AH103" s="6"/>
      <c r="AI103"/>
      <c r="AJ103"/>
    </row>
    <row r="104" spans="1:36" s="1" customFormat="1" ht="15.75" thickBot="1" x14ac:dyDescent="0.3">
      <c r="A104"/>
      <c r="B104" s="11" t="s">
        <v>125</v>
      </c>
      <c r="C104" s="42" t="str">
        <f>+IF($C$5=0,"",'4. '!B79)</f>
        <v/>
      </c>
      <c r="D104" s="42" t="str">
        <f>+IF($D$5=0,"",'4. '!C79)</f>
        <v/>
      </c>
      <c r="E104" s="42" t="str">
        <f>+IF($E$5=0,"",'4. '!D79)</f>
        <v/>
      </c>
      <c r="F104" s="42" t="str">
        <f>+IF($F$5=0,"",'4. '!E79)</f>
        <v/>
      </c>
      <c r="G104" s="42" t="str">
        <f>+IF($G$5=0,"",'4. '!F79)</f>
        <v/>
      </c>
      <c r="H104" s="42" t="str">
        <f>+IF($H$5=0,"",'4. '!G79)</f>
        <v/>
      </c>
      <c r="I104" s="42" t="str">
        <f>+IF($I$5=0,"",'4. '!H79)</f>
        <v/>
      </c>
      <c r="J104" s="42" t="str">
        <f>+IF($J$5=0,"",'4. '!I79)</f>
        <v/>
      </c>
      <c r="K104" s="42" t="str">
        <f>+IF($K$5=0,"",'4. '!J79)</f>
        <v/>
      </c>
      <c r="L104" s="42" t="str">
        <f>+IF($L$5=0,"",'4. '!K79)</f>
        <v/>
      </c>
      <c r="M104" s="42" t="str">
        <f>+IF($M$5=0,"",'4. '!L79)</f>
        <v/>
      </c>
      <c r="N104" s="42" t="str">
        <f>+IF($N$5=0,"",'4. '!M79)</f>
        <v/>
      </c>
      <c r="O104" s="42" t="str">
        <f>+IF($O$5=0,"",'4. '!N79)</f>
        <v/>
      </c>
      <c r="P104" s="42" t="str">
        <f>+IF($P$5=0,"",'4. '!O79)</f>
        <v/>
      </c>
      <c r="Q104" s="42" t="str">
        <f>+IF($Q$5=0,"",'4. '!P79)</f>
        <v/>
      </c>
      <c r="R104" s="42" t="str">
        <f>+IF($R$5=0,"",'4. '!Q79)</f>
        <v/>
      </c>
      <c r="S104" s="42" t="str">
        <f>+IF($S$5=0,"",'4. '!R79)</f>
        <v/>
      </c>
      <c r="T104" s="42" t="str">
        <f>+IF($T$5=0,"",'4. '!S79)</f>
        <v/>
      </c>
      <c r="U104" s="42" t="str">
        <f>+IF($U$5=0,"",'4. '!T79)</f>
        <v/>
      </c>
      <c r="V104" s="42" t="str">
        <f>+IF($V$5=0,"",'4. '!U79)</f>
        <v/>
      </c>
      <c r="W104" s="42" t="str">
        <f>+IF($W$5=0,"",'4. '!V79)</f>
        <v/>
      </c>
      <c r="X104" s="42" t="str">
        <f>+IF($X$5=0,"",'4. '!W79)</f>
        <v/>
      </c>
      <c r="Y104" s="42" t="str">
        <f>+IF($Y$5=0,"",'4. '!X79)</f>
        <v/>
      </c>
      <c r="Z104" s="42" t="str">
        <f>+IF($Z$5=0,"",'4. '!Y79)</f>
        <v/>
      </c>
      <c r="AA104" s="42" t="str">
        <f>+IF($AA$5=0,"",'4. '!Z79)</f>
        <v/>
      </c>
      <c r="AB104" s="42" t="str">
        <f>+IF($AB$5=0,"",'4. '!AA79)</f>
        <v/>
      </c>
      <c r="AC104" s="42" t="str">
        <f>+IF($AC$5=0,"",'4. '!AB79)</f>
        <v/>
      </c>
      <c r="AD104" s="42" t="str">
        <f>+IF($AD$5=0,"",'4. '!AC79)</f>
        <v/>
      </c>
      <c r="AE104" s="42" t="str">
        <f>+IF($AE$5=0,"",'4. '!AD79)</f>
        <v/>
      </c>
      <c r="AF104" s="42" t="str">
        <f>+IF($AF$5=0,"",'4. '!AE79)</f>
        <v/>
      </c>
      <c r="AG104" s="50" t="e">
        <f t="shared" si="2"/>
        <v>#DIV/0!</v>
      </c>
      <c r="AH104" s="6"/>
      <c r="AI104"/>
      <c r="AJ104"/>
    </row>
    <row r="105" spans="1:36" s="1" customFormat="1" ht="15.75" thickBot="1" x14ac:dyDescent="0.3">
      <c r="A105"/>
      <c r="B105" s="10" t="s">
        <v>223</v>
      </c>
      <c r="C105" s="42" t="str">
        <f>+IF($C$5=0,"",'4. '!B165)</f>
        <v/>
      </c>
      <c r="D105" s="42" t="str">
        <f>+IF($D$5=0,"",'4. '!C165)</f>
        <v/>
      </c>
      <c r="E105" s="42" t="str">
        <f>+IF($E$5=0,"",'4. '!D165)</f>
        <v/>
      </c>
      <c r="F105" s="42" t="str">
        <f>+IF($F$5=0,"",'4. '!E165)</f>
        <v/>
      </c>
      <c r="G105" s="42" t="str">
        <f>+IF($G$5=0,"",'4. '!F165)</f>
        <v/>
      </c>
      <c r="H105" s="42" t="str">
        <f>+IF($H$5=0,"",'4. '!G165)</f>
        <v/>
      </c>
      <c r="I105" s="42" t="str">
        <f>+IF($I$5=0,"",'4. '!H165)</f>
        <v/>
      </c>
      <c r="J105" s="42" t="str">
        <f>+IF($J$5=0,"",'4. '!I165)</f>
        <v/>
      </c>
      <c r="K105" s="42" t="str">
        <f>+IF($K$5=0,"",'4. '!J165)</f>
        <v/>
      </c>
      <c r="L105" s="42" t="str">
        <f>+IF($L$5=0,"",'4. '!K165)</f>
        <v/>
      </c>
      <c r="M105" s="42" t="str">
        <f>+IF($M$5=0,"",'4. '!L165)</f>
        <v/>
      </c>
      <c r="N105" s="42" t="str">
        <f>+IF($N$5=0,"",'4. '!M165)</f>
        <v/>
      </c>
      <c r="O105" s="42" t="str">
        <f>+IF($O$5=0,"",'4. '!N165)</f>
        <v/>
      </c>
      <c r="P105" s="42" t="str">
        <f>+IF($P$5=0,"",'4. '!O165)</f>
        <v/>
      </c>
      <c r="Q105" s="42" t="str">
        <f>+IF($Q$5=0,"",'4. '!P165)</f>
        <v/>
      </c>
      <c r="R105" s="42" t="str">
        <f>+IF($R$5=0,"",'4. '!Q165)</f>
        <v/>
      </c>
      <c r="S105" s="42" t="str">
        <f>+IF($S$5=0,"",'4. '!R165)</f>
        <v/>
      </c>
      <c r="T105" s="42" t="str">
        <f>+IF($T$5=0,"",'4. '!S165)</f>
        <v/>
      </c>
      <c r="U105" s="42" t="str">
        <f>+IF($U$5=0,"",'4. '!T165)</f>
        <v/>
      </c>
      <c r="V105" s="42" t="str">
        <f>+IF($V$5=0,"",'4. '!U165)</f>
        <v/>
      </c>
      <c r="W105" s="42" t="str">
        <f>+IF($W$5=0,"",'4. '!V165)</f>
        <v/>
      </c>
      <c r="X105" s="42" t="str">
        <f>+IF($X$5=0,"",'4. '!W165)</f>
        <v/>
      </c>
      <c r="Y105" s="42" t="str">
        <f>+IF($Y$5=0,"",'4. '!X165)</f>
        <v/>
      </c>
      <c r="Z105" s="42" t="str">
        <f>+IF($Z$5=0,"",'4. '!Y165)</f>
        <v/>
      </c>
      <c r="AA105" s="42" t="str">
        <f>+IF($AA$5=0,"",'4. '!Z165)</f>
        <v/>
      </c>
      <c r="AB105" s="42" t="str">
        <f>+IF($AB$5=0,"",'4. '!AA165)</f>
        <v/>
      </c>
      <c r="AC105" s="42" t="str">
        <f>+IF($AC$5=0,"",'4. '!AB165)</f>
        <v/>
      </c>
      <c r="AD105" s="42" t="str">
        <f>+IF($AD$5=0,"",'4. '!AC165)</f>
        <v/>
      </c>
      <c r="AE105" s="42" t="str">
        <f>+IF($AE$5=0,"",'4. '!AD165)</f>
        <v/>
      </c>
      <c r="AF105" s="42" t="str">
        <f>+IF($AF$5=0,"",'4. '!AE165)</f>
        <v/>
      </c>
      <c r="AG105" s="50" t="e">
        <f t="shared" si="2"/>
        <v>#DIV/0!</v>
      </c>
      <c r="AH105" s="6"/>
      <c r="AI105"/>
      <c r="AJ105"/>
    </row>
    <row r="106" spans="1:36" s="1" customFormat="1" ht="15.75" thickBot="1" x14ac:dyDescent="0.3">
      <c r="A106"/>
      <c r="B106" s="11" t="s">
        <v>220</v>
      </c>
      <c r="C106" s="42" t="str">
        <f>+IF($C$5=0,"",'4. '!B162)</f>
        <v/>
      </c>
      <c r="D106" s="42" t="str">
        <f>+IF($D$5=0,"",'4. '!C162)</f>
        <v/>
      </c>
      <c r="E106" s="42" t="str">
        <f>+IF($E$5=0,"",'4. '!D162)</f>
        <v/>
      </c>
      <c r="F106" s="42" t="str">
        <f>+IF($F$5=0,"",'4. '!E162)</f>
        <v/>
      </c>
      <c r="G106" s="42" t="str">
        <f>+IF($G$5=0,"",'4. '!F162)</f>
        <v/>
      </c>
      <c r="H106" s="42" t="str">
        <f>+IF($H$5=0,"",'4. '!G162)</f>
        <v/>
      </c>
      <c r="I106" s="42" t="str">
        <f>+IF($I$5=0,"",'4. '!H162)</f>
        <v/>
      </c>
      <c r="J106" s="42" t="str">
        <f>+IF($J$5=0,"",'4. '!I162)</f>
        <v/>
      </c>
      <c r="K106" s="42" t="str">
        <f>+IF($K$5=0,"",'4. '!J162)</f>
        <v/>
      </c>
      <c r="L106" s="42" t="str">
        <f>+IF($L$5=0,"",'4. '!K162)</f>
        <v/>
      </c>
      <c r="M106" s="42" t="str">
        <f>+IF($M$5=0,"",'4. '!L162)</f>
        <v/>
      </c>
      <c r="N106" s="42" t="str">
        <f>+IF($N$5=0,"",'4. '!M162)</f>
        <v/>
      </c>
      <c r="O106" s="42" t="str">
        <f>+IF($O$5=0,"",'4. '!N162)</f>
        <v/>
      </c>
      <c r="P106" s="42" t="str">
        <f>+IF($P$5=0,"",'4. '!O162)</f>
        <v/>
      </c>
      <c r="Q106" s="42" t="str">
        <f>+IF($Q$5=0,"",'4. '!P162)</f>
        <v/>
      </c>
      <c r="R106" s="42" t="str">
        <f>+IF($R$5=0,"",'4. '!Q162)</f>
        <v/>
      </c>
      <c r="S106" s="42" t="str">
        <f>+IF($S$5=0,"",'4. '!R162)</f>
        <v/>
      </c>
      <c r="T106" s="42" t="str">
        <f>+IF($T$5=0,"",'4. '!S162)</f>
        <v/>
      </c>
      <c r="U106" s="42" t="str">
        <f>+IF($U$5=0,"",'4. '!T162)</f>
        <v/>
      </c>
      <c r="V106" s="42" t="str">
        <f>+IF($V$5=0,"",'4. '!U162)</f>
        <v/>
      </c>
      <c r="W106" s="42" t="str">
        <f>+IF($W$5=0,"",'4. '!V162)</f>
        <v/>
      </c>
      <c r="X106" s="42" t="str">
        <f>+IF($X$5=0,"",'4. '!W162)</f>
        <v/>
      </c>
      <c r="Y106" s="42" t="str">
        <f>+IF($Y$5=0,"",'4. '!X162)</f>
        <v/>
      </c>
      <c r="Z106" s="42" t="str">
        <f>+IF($Z$5=0,"",'4. '!Y162)</f>
        <v/>
      </c>
      <c r="AA106" s="42" t="str">
        <f>+IF($AA$5=0,"",'4. '!Z162)</f>
        <v/>
      </c>
      <c r="AB106" s="42" t="str">
        <f>+IF($AB$5=0,"",'4. '!AA162)</f>
        <v/>
      </c>
      <c r="AC106" s="42" t="str">
        <f>+IF($AC$5=0,"",'4. '!AB162)</f>
        <v/>
      </c>
      <c r="AD106" s="42" t="str">
        <f>+IF($AD$5=0,"",'4. '!AC162)</f>
        <v/>
      </c>
      <c r="AE106" s="42" t="str">
        <f>+IF($AE$5=0,"",'4. '!AD162)</f>
        <v/>
      </c>
      <c r="AF106" s="42" t="str">
        <f>+IF($AF$5=0,"",'4. '!AE162)</f>
        <v/>
      </c>
      <c r="AG106" s="50" t="e">
        <f t="shared" si="2"/>
        <v>#DIV/0!</v>
      </c>
      <c r="AH106" s="6"/>
      <c r="AI106"/>
      <c r="AJ106"/>
    </row>
    <row r="107" spans="1:36" s="1" customFormat="1" ht="15.75" thickBot="1" x14ac:dyDescent="0.3">
      <c r="A107"/>
      <c r="B107" s="10" t="s">
        <v>130</v>
      </c>
      <c r="C107" s="42" t="str">
        <f>+IF($C$5=0,"",'4. '!B84)</f>
        <v/>
      </c>
      <c r="D107" s="42" t="str">
        <f>+IF($D$5=0,"",'4. '!C84)</f>
        <v/>
      </c>
      <c r="E107" s="42" t="str">
        <f>+IF($E$5=0,"",'4. '!D84)</f>
        <v/>
      </c>
      <c r="F107" s="42" t="str">
        <f>+IF($F$5=0,"",'4. '!E84)</f>
        <v/>
      </c>
      <c r="G107" s="42" t="str">
        <f>+IF($G$5=0,"",'4. '!F84)</f>
        <v/>
      </c>
      <c r="H107" s="42" t="str">
        <f>+IF($H$5=0,"",'4. '!G84)</f>
        <v/>
      </c>
      <c r="I107" s="42" t="str">
        <f>+IF($I$5=0,"",'4. '!H84)</f>
        <v/>
      </c>
      <c r="J107" s="42" t="str">
        <f>+IF($J$5=0,"",'4. '!I84)</f>
        <v/>
      </c>
      <c r="K107" s="42" t="str">
        <f>+IF($K$5=0,"",'4. '!J84)</f>
        <v/>
      </c>
      <c r="L107" s="42" t="str">
        <f>+IF($L$5=0,"",'4. '!K84)</f>
        <v/>
      </c>
      <c r="M107" s="42" t="str">
        <f>+IF($M$5=0,"",'4. '!L84)</f>
        <v/>
      </c>
      <c r="N107" s="42" t="str">
        <f>+IF($N$5=0,"",'4. '!M84)</f>
        <v/>
      </c>
      <c r="O107" s="42" t="str">
        <f>+IF($O$5=0,"",'4. '!N84)</f>
        <v/>
      </c>
      <c r="P107" s="42" t="str">
        <f>+IF($P$5=0,"",'4. '!O84)</f>
        <v/>
      </c>
      <c r="Q107" s="42" t="str">
        <f>+IF($Q$5=0,"",'4. '!P84)</f>
        <v/>
      </c>
      <c r="R107" s="42" t="str">
        <f>+IF($R$5=0,"",'4. '!Q84)</f>
        <v/>
      </c>
      <c r="S107" s="42" t="str">
        <f>+IF($S$5=0,"",'4. '!R84)</f>
        <v/>
      </c>
      <c r="T107" s="42" t="str">
        <f>+IF($T$5=0,"",'4. '!S84)</f>
        <v/>
      </c>
      <c r="U107" s="42" t="str">
        <f>+IF($U$5=0,"",'4. '!T84)</f>
        <v/>
      </c>
      <c r="V107" s="42" t="str">
        <f>+IF($V$5=0,"",'4. '!U84)</f>
        <v/>
      </c>
      <c r="W107" s="42" t="str">
        <f>+IF($W$5=0,"",'4. '!V84)</f>
        <v/>
      </c>
      <c r="X107" s="42" t="str">
        <f>+IF($X$5=0,"",'4. '!W84)</f>
        <v/>
      </c>
      <c r="Y107" s="42" t="str">
        <f>+IF($Y$5=0,"",'4. '!X84)</f>
        <v/>
      </c>
      <c r="Z107" s="42" t="str">
        <f>+IF($Z$5=0,"",'4. '!Y84)</f>
        <v/>
      </c>
      <c r="AA107" s="42" t="str">
        <f>+IF($AA$5=0,"",'4. '!Z84)</f>
        <v/>
      </c>
      <c r="AB107" s="42" t="str">
        <f>+IF($AB$5=0,"",'4. '!AA84)</f>
        <v/>
      </c>
      <c r="AC107" s="42" t="str">
        <f>+IF($AC$5=0,"",'4. '!AB84)</f>
        <v/>
      </c>
      <c r="AD107" s="42" t="str">
        <f>+IF($AD$5=0,"",'4. '!AC84)</f>
        <v/>
      </c>
      <c r="AE107" s="42" t="str">
        <f>+IF($AE$5=0,"",'4. '!AD84)</f>
        <v/>
      </c>
      <c r="AF107" s="42" t="str">
        <f>+IF($AF$5=0,"",'4. '!AE84)</f>
        <v/>
      </c>
      <c r="AG107" s="50" t="e">
        <f t="shared" si="2"/>
        <v>#DIV/0!</v>
      </c>
      <c r="AH107" s="6"/>
      <c r="AI107"/>
      <c r="AJ107"/>
    </row>
    <row r="108" spans="1:36" s="1" customFormat="1" ht="15.75" thickBot="1" x14ac:dyDescent="0.3">
      <c r="A108"/>
      <c r="B108" s="11" t="s">
        <v>127</v>
      </c>
      <c r="C108" s="42" t="str">
        <f>+IF($C$5=0,"",'4. '!B81)</f>
        <v/>
      </c>
      <c r="D108" s="42" t="str">
        <f>+IF($D$5=0,"",'4. '!C81)</f>
        <v/>
      </c>
      <c r="E108" s="42" t="str">
        <f>+IF($E$5=0,"",'4. '!D81)</f>
        <v/>
      </c>
      <c r="F108" s="42" t="str">
        <f>+IF($F$5=0,"",'4. '!E81)</f>
        <v/>
      </c>
      <c r="G108" s="42" t="str">
        <f>+IF($G$5=0,"",'4. '!F81)</f>
        <v/>
      </c>
      <c r="H108" s="42" t="str">
        <f>+IF($H$5=0,"",'4. '!G81)</f>
        <v/>
      </c>
      <c r="I108" s="42" t="str">
        <f>+IF($I$5=0,"",'4. '!H81)</f>
        <v/>
      </c>
      <c r="J108" s="42" t="str">
        <f>+IF($J$5=0,"",'4. '!I81)</f>
        <v/>
      </c>
      <c r="K108" s="42" t="str">
        <f>+IF($K$5=0,"",'4. '!J81)</f>
        <v/>
      </c>
      <c r="L108" s="42" t="str">
        <f>+IF($L$5=0,"",'4. '!K81)</f>
        <v/>
      </c>
      <c r="M108" s="42" t="str">
        <f>+IF($M$5=0,"",'4. '!L81)</f>
        <v/>
      </c>
      <c r="N108" s="42" t="str">
        <f>+IF($N$5=0,"",'4. '!M81)</f>
        <v/>
      </c>
      <c r="O108" s="42" t="str">
        <f>+IF($O$5=0,"",'4. '!N81)</f>
        <v/>
      </c>
      <c r="P108" s="42" t="str">
        <f>+IF($P$5=0,"",'4. '!O81)</f>
        <v/>
      </c>
      <c r="Q108" s="42" t="str">
        <f>+IF($Q$5=0,"",'4. '!P81)</f>
        <v/>
      </c>
      <c r="R108" s="42" t="str">
        <f>+IF($R$5=0,"",'4. '!Q81)</f>
        <v/>
      </c>
      <c r="S108" s="42" t="str">
        <f>+IF($S$5=0,"",'4. '!R81)</f>
        <v/>
      </c>
      <c r="T108" s="42" t="str">
        <f>+IF($T$5=0,"",'4. '!S81)</f>
        <v/>
      </c>
      <c r="U108" s="42" t="str">
        <f>+IF($U$5=0,"",'4. '!T81)</f>
        <v/>
      </c>
      <c r="V108" s="42" t="str">
        <f>+IF($V$5=0,"",'4. '!U81)</f>
        <v/>
      </c>
      <c r="W108" s="42" t="str">
        <f>+IF($W$5=0,"",'4. '!V81)</f>
        <v/>
      </c>
      <c r="X108" s="42" t="str">
        <f>+IF($X$5=0,"",'4. '!W81)</f>
        <v/>
      </c>
      <c r="Y108" s="42" t="str">
        <f>+IF($Y$5=0,"",'4. '!X81)</f>
        <v/>
      </c>
      <c r="Z108" s="42" t="str">
        <f>+IF($Z$5=0,"",'4. '!Y81)</f>
        <v/>
      </c>
      <c r="AA108" s="42" t="str">
        <f>+IF($AA$5=0,"",'4. '!Z81)</f>
        <v/>
      </c>
      <c r="AB108" s="42" t="str">
        <f>+IF($AB$5=0,"",'4. '!AA81)</f>
        <v/>
      </c>
      <c r="AC108" s="42" t="str">
        <f>+IF($AC$5=0,"",'4. '!AB81)</f>
        <v/>
      </c>
      <c r="AD108" s="42" t="str">
        <f>+IF($AD$5=0,"",'4. '!AC81)</f>
        <v/>
      </c>
      <c r="AE108" s="42" t="str">
        <f>+IF($AE$5=0,"",'4. '!AD81)</f>
        <v/>
      </c>
      <c r="AF108" s="42" t="str">
        <f>+IF($AF$5=0,"",'4. '!AE81)</f>
        <v/>
      </c>
      <c r="AG108" s="50" t="e">
        <f t="shared" si="2"/>
        <v>#DIV/0!</v>
      </c>
      <c r="AH108" s="6"/>
      <c r="AI108"/>
      <c r="AJ108"/>
    </row>
    <row r="109" spans="1:36" s="1" customFormat="1" ht="15.75" thickBot="1" x14ac:dyDescent="0.3">
      <c r="A109"/>
      <c r="B109" s="10" t="s">
        <v>213</v>
      </c>
      <c r="C109" s="42" t="str">
        <f>+IF($C$5=0,"",'4. '!B155)</f>
        <v/>
      </c>
      <c r="D109" s="42" t="str">
        <f>+IF($D$5=0,"",'4. '!C155)</f>
        <v/>
      </c>
      <c r="E109" s="42" t="str">
        <f>+IF($E$5=0,"",'4. '!D155)</f>
        <v/>
      </c>
      <c r="F109" s="42" t="str">
        <f>+IF($F$5=0,"",'4. '!E155)</f>
        <v/>
      </c>
      <c r="G109" s="42" t="str">
        <f>+IF($G$5=0,"",'4. '!F155)</f>
        <v/>
      </c>
      <c r="H109" s="42" t="str">
        <f>+IF($H$5=0,"",'4. '!G155)</f>
        <v/>
      </c>
      <c r="I109" s="42" t="str">
        <f>+IF($I$5=0,"",'4. '!H155)</f>
        <v/>
      </c>
      <c r="J109" s="42" t="str">
        <f>+IF($J$5=0,"",'4. '!I155)</f>
        <v/>
      </c>
      <c r="K109" s="42" t="str">
        <f>+IF($K$5=0,"",'4. '!J155)</f>
        <v/>
      </c>
      <c r="L109" s="42" t="str">
        <f>+IF($L$5=0,"",'4. '!K155)</f>
        <v/>
      </c>
      <c r="M109" s="42" t="str">
        <f>+IF($M$5=0,"",'4. '!L155)</f>
        <v/>
      </c>
      <c r="N109" s="42" t="str">
        <f>+IF($N$5=0,"",'4. '!M155)</f>
        <v/>
      </c>
      <c r="O109" s="42" t="str">
        <f>+IF($O$5=0,"",'4. '!N155)</f>
        <v/>
      </c>
      <c r="P109" s="42" t="str">
        <f>+IF($P$5=0,"",'4. '!O155)</f>
        <v/>
      </c>
      <c r="Q109" s="42" t="str">
        <f>+IF($Q$5=0,"",'4. '!P155)</f>
        <v/>
      </c>
      <c r="R109" s="42" t="str">
        <f>+IF($R$5=0,"",'4. '!Q155)</f>
        <v/>
      </c>
      <c r="S109" s="42" t="str">
        <f>+IF($S$5=0,"",'4. '!R155)</f>
        <v/>
      </c>
      <c r="T109" s="42" t="str">
        <f>+IF($T$5=0,"",'4. '!S155)</f>
        <v/>
      </c>
      <c r="U109" s="42" t="str">
        <f>+IF($U$5=0,"",'4. '!T155)</f>
        <v/>
      </c>
      <c r="V109" s="42" t="str">
        <f>+IF($V$5=0,"",'4. '!U155)</f>
        <v/>
      </c>
      <c r="W109" s="42" t="str">
        <f>+IF($W$5=0,"",'4. '!V155)</f>
        <v/>
      </c>
      <c r="X109" s="42" t="str">
        <f>+IF($X$5=0,"",'4. '!W155)</f>
        <v/>
      </c>
      <c r="Y109" s="42" t="str">
        <f>+IF($Y$5=0,"",'4. '!X155)</f>
        <v/>
      </c>
      <c r="Z109" s="42" t="str">
        <f>+IF($Z$5=0,"",'4. '!Y155)</f>
        <v/>
      </c>
      <c r="AA109" s="42" t="str">
        <f>+IF($AA$5=0,"",'4. '!Z155)</f>
        <v/>
      </c>
      <c r="AB109" s="42" t="str">
        <f>+IF($AB$5=0,"",'4. '!AA155)</f>
        <v/>
      </c>
      <c r="AC109" s="42" t="str">
        <f>+IF($AC$5=0,"",'4. '!AB155)</f>
        <v/>
      </c>
      <c r="AD109" s="42" t="str">
        <f>+IF($AD$5=0,"",'4. '!AC155)</f>
        <v/>
      </c>
      <c r="AE109" s="42" t="str">
        <f>+IF($AE$5=0,"",'4. '!AD155)</f>
        <v/>
      </c>
      <c r="AF109" s="42" t="str">
        <f>+IF($AF$5=0,"",'4. '!AE155)</f>
        <v/>
      </c>
      <c r="AG109" s="50" t="e">
        <f t="shared" si="2"/>
        <v>#DIV/0!</v>
      </c>
      <c r="AH109" s="6"/>
      <c r="AI109"/>
      <c r="AJ109"/>
    </row>
    <row r="110" spans="1:36" s="1" customFormat="1" ht="15.75" thickBot="1" x14ac:dyDescent="0.3">
      <c r="A110"/>
      <c r="B110" s="11" t="s">
        <v>210</v>
      </c>
      <c r="C110" s="42" t="str">
        <f>+IF($C$5=0,"",'4. '!B152)</f>
        <v/>
      </c>
      <c r="D110" s="42" t="str">
        <f>+IF($D$5=0,"",'4. '!C152)</f>
        <v/>
      </c>
      <c r="E110" s="42" t="str">
        <f>+IF($E$5=0,"",'4. '!D152)</f>
        <v/>
      </c>
      <c r="F110" s="42" t="str">
        <f>+IF($F$5=0,"",'4. '!E152)</f>
        <v/>
      </c>
      <c r="G110" s="42" t="str">
        <f>+IF($G$5=0,"",'4. '!F152)</f>
        <v/>
      </c>
      <c r="H110" s="42" t="str">
        <f>+IF($H$5=0,"",'4. '!G152)</f>
        <v/>
      </c>
      <c r="I110" s="42" t="str">
        <f>+IF($I$5=0,"",'4. '!H152)</f>
        <v/>
      </c>
      <c r="J110" s="42" t="str">
        <f>+IF($J$5=0,"",'4. '!I152)</f>
        <v/>
      </c>
      <c r="K110" s="42" t="str">
        <f>+IF($K$5=0,"",'4. '!J152)</f>
        <v/>
      </c>
      <c r="L110" s="42" t="str">
        <f>+IF($L$5=0,"",'4. '!K152)</f>
        <v/>
      </c>
      <c r="M110" s="42" t="str">
        <f>+IF($M$5=0,"",'4. '!L152)</f>
        <v/>
      </c>
      <c r="N110" s="42" t="str">
        <f>+IF($N$5=0,"",'4. '!M152)</f>
        <v/>
      </c>
      <c r="O110" s="42" t="str">
        <f>+IF($O$5=0,"",'4. '!N152)</f>
        <v/>
      </c>
      <c r="P110" s="42" t="str">
        <f>+IF($P$5=0,"",'4. '!O152)</f>
        <v/>
      </c>
      <c r="Q110" s="42" t="str">
        <f>+IF($Q$5=0,"",'4. '!P152)</f>
        <v/>
      </c>
      <c r="R110" s="42" t="str">
        <f>+IF($R$5=0,"",'4. '!Q152)</f>
        <v/>
      </c>
      <c r="S110" s="42" t="str">
        <f>+IF($S$5=0,"",'4. '!R152)</f>
        <v/>
      </c>
      <c r="T110" s="42" t="str">
        <f>+IF($T$5=0,"",'4. '!S152)</f>
        <v/>
      </c>
      <c r="U110" s="42" t="str">
        <f>+IF($U$5=0,"",'4. '!T152)</f>
        <v/>
      </c>
      <c r="V110" s="42" t="str">
        <f>+IF($V$5=0,"",'4. '!U152)</f>
        <v/>
      </c>
      <c r="W110" s="42" t="str">
        <f>+IF($W$5=0,"",'4. '!V152)</f>
        <v/>
      </c>
      <c r="X110" s="42" t="str">
        <f>+IF($X$5=0,"",'4. '!W152)</f>
        <v/>
      </c>
      <c r="Y110" s="42" t="str">
        <f>+IF($Y$5=0,"",'4. '!X152)</f>
        <v/>
      </c>
      <c r="Z110" s="42" t="str">
        <f>+IF($Z$5=0,"",'4. '!Y152)</f>
        <v/>
      </c>
      <c r="AA110" s="42" t="str">
        <f>+IF($AA$5=0,"",'4. '!Z152)</f>
        <v/>
      </c>
      <c r="AB110" s="42" t="str">
        <f>+IF($AB$5=0,"",'4. '!AA152)</f>
        <v/>
      </c>
      <c r="AC110" s="42" t="str">
        <f>+IF($AC$5=0,"",'4. '!AB152)</f>
        <v/>
      </c>
      <c r="AD110" s="42" t="str">
        <f>+IF($AD$5=0,"",'4. '!AC152)</f>
        <v/>
      </c>
      <c r="AE110" s="42" t="str">
        <f>+IF($AE$5=0,"",'4. '!AD152)</f>
        <v/>
      </c>
      <c r="AF110" s="42" t="str">
        <f>+IF($AF$5=0,"",'4. '!AE152)</f>
        <v/>
      </c>
      <c r="AG110" s="50" t="e">
        <f t="shared" si="2"/>
        <v>#DIV/0!</v>
      </c>
      <c r="AH110" s="6"/>
      <c r="AI110"/>
      <c r="AJ110"/>
    </row>
    <row r="111" spans="1:36" s="1" customFormat="1" ht="15.75" thickBot="1" x14ac:dyDescent="0.3">
      <c r="A111"/>
      <c r="B111" s="10" t="s">
        <v>215</v>
      </c>
      <c r="C111" s="42" t="str">
        <f>+IF($C$5=0,"",'4. '!B157)</f>
        <v/>
      </c>
      <c r="D111" s="42" t="str">
        <f>+IF($D$5=0,"",'4. '!C157)</f>
        <v/>
      </c>
      <c r="E111" s="42" t="str">
        <f>+IF($E$5=0,"",'4. '!D157)</f>
        <v/>
      </c>
      <c r="F111" s="42" t="str">
        <f>+IF($F$5=0,"",'4. '!E157)</f>
        <v/>
      </c>
      <c r="G111" s="42" t="str">
        <f>+IF($G$5=0,"",'4. '!F157)</f>
        <v/>
      </c>
      <c r="H111" s="42" t="str">
        <f>+IF($H$5=0,"",'4. '!G157)</f>
        <v/>
      </c>
      <c r="I111" s="42" t="str">
        <f>+IF($I$5=0,"",'4. '!H157)</f>
        <v/>
      </c>
      <c r="J111" s="42" t="str">
        <f>+IF($J$5=0,"",'4. '!I157)</f>
        <v/>
      </c>
      <c r="K111" s="42" t="str">
        <f>+IF($K$5=0,"",'4. '!J157)</f>
        <v/>
      </c>
      <c r="L111" s="42" t="str">
        <f>+IF($L$5=0,"",'4. '!K157)</f>
        <v/>
      </c>
      <c r="M111" s="42" t="str">
        <f>+IF($M$5=0,"",'4. '!L157)</f>
        <v/>
      </c>
      <c r="N111" s="42" t="str">
        <f>+IF($N$5=0,"",'4. '!M157)</f>
        <v/>
      </c>
      <c r="O111" s="42" t="str">
        <f>+IF($O$5=0,"",'4. '!N157)</f>
        <v/>
      </c>
      <c r="P111" s="42" t="str">
        <f>+IF($P$5=0,"",'4. '!O157)</f>
        <v/>
      </c>
      <c r="Q111" s="42" t="str">
        <f>+IF($Q$5=0,"",'4. '!P157)</f>
        <v/>
      </c>
      <c r="R111" s="42" t="str">
        <f>+IF($R$5=0,"",'4. '!Q157)</f>
        <v/>
      </c>
      <c r="S111" s="42" t="str">
        <f>+IF($S$5=0,"",'4. '!R157)</f>
        <v/>
      </c>
      <c r="T111" s="42" t="str">
        <f>+IF($T$5=0,"",'4. '!S157)</f>
        <v/>
      </c>
      <c r="U111" s="42" t="str">
        <f>+IF($U$5=0,"",'4. '!T157)</f>
        <v/>
      </c>
      <c r="V111" s="42" t="str">
        <f>+IF($V$5=0,"",'4. '!U157)</f>
        <v/>
      </c>
      <c r="W111" s="42" t="str">
        <f>+IF($W$5=0,"",'4. '!V157)</f>
        <v/>
      </c>
      <c r="X111" s="42" t="str">
        <f>+IF($X$5=0,"",'4. '!W157)</f>
        <v/>
      </c>
      <c r="Y111" s="42" t="str">
        <f>+IF($Y$5=0,"",'4. '!X157)</f>
        <v/>
      </c>
      <c r="Z111" s="42" t="str">
        <f>+IF($Z$5=0,"",'4. '!Y157)</f>
        <v/>
      </c>
      <c r="AA111" s="42" t="str">
        <f>+IF($AA$5=0,"",'4. '!Z157)</f>
        <v/>
      </c>
      <c r="AB111" s="42" t="str">
        <f>+IF($AB$5=0,"",'4. '!AA157)</f>
        <v/>
      </c>
      <c r="AC111" s="42" t="str">
        <f>+IF($AC$5=0,"",'4. '!AB157)</f>
        <v/>
      </c>
      <c r="AD111" s="42" t="str">
        <f>+IF($AD$5=0,"",'4. '!AC157)</f>
        <v/>
      </c>
      <c r="AE111" s="42" t="str">
        <f>+IF($AE$5=0,"",'4. '!AD157)</f>
        <v/>
      </c>
      <c r="AF111" s="42" t="str">
        <f>+IF($AF$5=0,"",'4. '!AE157)</f>
        <v/>
      </c>
      <c r="AG111" s="50" t="e">
        <f t="shared" si="2"/>
        <v>#DIV/0!</v>
      </c>
      <c r="AH111" s="6"/>
      <c r="AI111"/>
      <c r="AJ111"/>
    </row>
    <row r="112" spans="1:36" s="1" customFormat="1" ht="15.75" thickBot="1" x14ac:dyDescent="0.3">
      <c r="A112"/>
      <c r="B112" s="11" t="s">
        <v>212</v>
      </c>
      <c r="C112" s="42" t="str">
        <f>+IF($C$5=0,"",'4. '!B154)</f>
        <v/>
      </c>
      <c r="D112" s="42" t="str">
        <f>+IF($D$5=0,"",'4. '!C154)</f>
        <v/>
      </c>
      <c r="E112" s="42" t="str">
        <f>+IF($E$5=0,"",'4. '!D154)</f>
        <v/>
      </c>
      <c r="F112" s="42" t="str">
        <f>+IF($F$5=0,"",'4. '!E154)</f>
        <v/>
      </c>
      <c r="G112" s="42" t="str">
        <f>+IF($G$5=0,"",'4. '!F154)</f>
        <v/>
      </c>
      <c r="H112" s="42" t="str">
        <f>+IF($H$5=0,"",'4. '!G154)</f>
        <v/>
      </c>
      <c r="I112" s="42" t="str">
        <f>+IF($I$5=0,"",'4. '!H154)</f>
        <v/>
      </c>
      <c r="J112" s="42" t="str">
        <f>+IF($J$5=0,"",'4. '!I154)</f>
        <v/>
      </c>
      <c r="K112" s="42" t="str">
        <f>+IF($K$5=0,"",'4. '!J154)</f>
        <v/>
      </c>
      <c r="L112" s="42" t="str">
        <f>+IF($L$5=0,"",'4. '!K154)</f>
        <v/>
      </c>
      <c r="M112" s="42" t="str">
        <f>+IF($M$5=0,"",'4. '!L154)</f>
        <v/>
      </c>
      <c r="N112" s="42" t="str">
        <f>+IF($N$5=0,"",'4. '!M154)</f>
        <v/>
      </c>
      <c r="O112" s="42" t="str">
        <f>+IF($O$5=0,"",'4. '!N154)</f>
        <v/>
      </c>
      <c r="P112" s="42" t="str">
        <f>+IF($P$5=0,"",'4. '!O154)</f>
        <v/>
      </c>
      <c r="Q112" s="42" t="str">
        <f>+IF($Q$5=0,"",'4. '!P154)</f>
        <v/>
      </c>
      <c r="R112" s="42" t="str">
        <f>+IF($R$5=0,"",'4. '!Q154)</f>
        <v/>
      </c>
      <c r="S112" s="42" t="str">
        <f>+IF($S$5=0,"",'4. '!R154)</f>
        <v/>
      </c>
      <c r="T112" s="42" t="str">
        <f>+IF($T$5=0,"",'4. '!S154)</f>
        <v/>
      </c>
      <c r="U112" s="42" t="str">
        <f>+IF($U$5=0,"",'4. '!T154)</f>
        <v/>
      </c>
      <c r="V112" s="42" t="str">
        <f>+IF($V$5=0,"",'4. '!U154)</f>
        <v/>
      </c>
      <c r="W112" s="42" t="str">
        <f>+IF($W$5=0,"",'4. '!V154)</f>
        <v/>
      </c>
      <c r="X112" s="42" t="str">
        <f>+IF($X$5=0,"",'4. '!W154)</f>
        <v/>
      </c>
      <c r="Y112" s="42" t="str">
        <f>+IF($Y$5=0,"",'4. '!X154)</f>
        <v/>
      </c>
      <c r="Z112" s="42" t="str">
        <f>+IF($Z$5=0,"",'4. '!Y154)</f>
        <v/>
      </c>
      <c r="AA112" s="42" t="str">
        <f>+IF($AA$5=0,"",'4. '!Z154)</f>
        <v/>
      </c>
      <c r="AB112" s="42" t="str">
        <f>+IF($AB$5=0,"",'4. '!AA154)</f>
        <v/>
      </c>
      <c r="AC112" s="42" t="str">
        <f>+IF($AC$5=0,"",'4. '!AB154)</f>
        <v/>
      </c>
      <c r="AD112" s="42" t="str">
        <f>+IF($AD$5=0,"",'4. '!AC154)</f>
        <v/>
      </c>
      <c r="AE112" s="42" t="str">
        <f>+IF($AE$5=0,"",'4. '!AD154)</f>
        <v/>
      </c>
      <c r="AF112" s="42" t="str">
        <f>+IF($AF$5=0,"",'4. '!AE154)</f>
        <v/>
      </c>
      <c r="AG112" s="50" t="e">
        <f t="shared" si="2"/>
        <v>#DIV/0!</v>
      </c>
      <c r="AH112" s="6"/>
      <c r="AI112"/>
      <c r="AJ112"/>
    </row>
    <row r="113" spans="1:36" s="1" customFormat="1" ht="15.75" thickBot="1" x14ac:dyDescent="0.3">
      <c r="A113"/>
      <c r="B113" s="10" t="s">
        <v>120</v>
      </c>
      <c r="C113" s="42" t="str">
        <f>+IF($C$5=0,"",'4. '!B74)</f>
        <v/>
      </c>
      <c r="D113" s="42" t="str">
        <f>+IF($D$5=0,"",'4. '!C74)</f>
        <v/>
      </c>
      <c r="E113" s="42" t="str">
        <f>+IF($E$5=0,"",'4. '!D74)</f>
        <v/>
      </c>
      <c r="F113" s="42" t="str">
        <f>+IF($F$5=0,"",'4. '!E74)</f>
        <v/>
      </c>
      <c r="G113" s="42" t="str">
        <f>+IF($G$5=0,"",'4. '!F74)</f>
        <v/>
      </c>
      <c r="H113" s="42" t="str">
        <f>+IF($H$5=0,"",'4. '!G74)</f>
        <v/>
      </c>
      <c r="I113" s="42" t="str">
        <f>+IF($I$5=0,"",'4. '!H74)</f>
        <v/>
      </c>
      <c r="J113" s="42" t="str">
        <f>+IF($J$5=0,"",'4. '!I74)</f>
        <v/>
      </c>
      <c r="K113" s="42" t="str">
        <f>+IF($K$5=0,"",'4. '!J74)</f>
        <v/>
      </c>
      <c r="L113" s="42" t="str">
        <f>+IF($L$5=0,"",'4. '!K74)</f>
        <v/>
      </c>
      <c r="M113" s="42" t="str">
        <f>+IF($M$5=0,"",'4. '!L74)</f>
        <v/>
      </c>
      <c r="N113" s="42" t="str">
        <f>+IF($N$5=0,"",'4. '!M74)</f>
        <v/>
      </c>
      <c r="O113" s="42" t="str">
        <f>+IF($O$5=0,"",'4. '!N74)</f>
        <v/>
      </c>
      <c r="P113" s="42" t="str">
        <f>+IF($P$5=0,"",'4. '!O74)</f>
        <v/>
      </c>
      <c r="Q113" s="42" t="str">
        <f>+IF($Q$5=0,"",'4. '!P74)</f>
        <v/>
      </c>
      <c r="R113" s="42" t="str">
        <f>+IF($R$5=0,"",'4. '!Q74)</f>
        <v/>
      </c>
      <c r="S113" s="42" t="str">
        <f>+IF($S$5=0,"",'4. '!R74)</f>
        <v/>
      </c>
      <c r="T113" s="42" t="str">
        <f>+IF($T$5=0,"",'4. '!S74)</f>
        <v/>
      </c>
      <c r="U113" s="42" t="str">
        <f>+IF($U$5=0,"",'4. '!T74)</f>
        <v/>
      </c>
      <c r="V113" s="42" t="str">
        <f>+IF($V$5=0,"",'4. '!U74)</f>
        <v/>
      </c>
      <c r="W113" s="42" t="str">
        <f>+IF($W$5=0,"",'4. '!V74)</f>
        <v/>
      </c>
      <c r="X113" s="42" t="str">
        <f>+IF($X$5=0,"",'4. '!W74)</f>
        <v/>
      </c>
      <c r="Y113" s="42" t="str">
        <f>+IF($Y$5=0,"",'4. '!X74)</f>
        <v/>
      </c>
      <c r="Z113" s="42" t="str">
        <f>+IF($Z$5=0,"",'4. '!Y74)</f>
        <v/>
      </c>
      <c r="AA113" s="42" t="str">
        <f>+IF($AA$5=0,"",'4. '!Z74)</f>
        <v/>
      </c>
      <c r="AB113" s="42" t="str">
        <f>+IF($AB$5=0,"",'4. '!AA74)</f>
        <v/>
      </c>
      <c r="AC113" s="42" t="str">
        <f>+IF($AC$5=0,"",'4. '!AB74)</f>
        <v/>
      </c>
      <c r="AD113" s="42" t="str">
        <f>+IF($AD$5=0,"",'4. '!AC74)</f>
        <v/>
      </c>
      <c r="AE113" s="42" t="str">
        <f>+IF($AE$5=0,"",'4. '!AD74)</f>
        <v/>
      </c>
      <c r="AF113" s="42" t="str">
        <f>+IF($AF$5=0,"",'4. '!AE74)</f>
        <v/>
      </c>
      <c r="AG113" s="50" t="e">
        <f t="shared" si="2"/>
        <v>#DIV/0!</v>
      </c>
      <c r="AH113" s="6"/>
      <c r="AI113"/>
      <c r="AJ113"/>
    </row>
    <row r="114" spans="1:36" s="1" customFormat="1" ht="15.75" thickBot="1" x14ac:dyDescent="0.3">
      <c r="A114"/>
      <c r="B114" s="11" t="s">
        <v>117</v>
      </c>
      <c r="C114" s="42" t="str">
        <f>+IF($C$5=0,"",'4. '!B71)</f>
        <v/>
      </c>
      <c r="D114" s="42" t="str">
        <f>+IF($D$5=0,"",'4. '!C71)</f>
        <v/>
      </c>
      <c r="E114" s="42" t="str">
        <f>+IF($E$5=0,"",'4. '!D71)</f>
        <v/>
      </c>
      <c r="F114" s="42" t="str">
        <f>+IF($F$5=0,"",'4. '!E71)</f>
        <v/>
      </c>
      <c r="G114" s="42" t="str">
        <f>+IF($G$5=0,"",'4. '!F71)</f>
        <v/>
      </c>
      <c r="H114" s="42" t="str">
        <f>+IF($H$5=0,"",'4. '!G71)</f>
        <v/>
      </c>
      <c r="I114" s="42" t="str">
        <f>+IF($I$5=0,"",'4. '!H71)</f>
        <v/>
      </c>
      <c r="J114" s="42" t="str">
        <f>+IF($J$5=0,"",'4. '!I71)</f>
        <v/>
      </c>
      <c r="K114" s="42" t="str">
        <f>+IF($K$5=0,"",'4. '!J71)</f>
        <v/>
      </c>
      <c r="L114" s="42" t="str">
        <f>+IF($L$5=0,"",'4. '!K71)</f>
        <v/>
      </c>
      <c r="M114" s="42" t="str">
        <f>+IF($M$5=0,"",'4. '!L71)</f>
        <v/>
      </c>
      <c r="N114" s="42" t="str">
        <f>+IF($N$5=0,"",'4. '!M71)</f>
        <v/>
      </c>
      <c r="O114" s="42" t="str">
        <f>+IF($O$5=0,"",'4. '!N71)</f>
        <v/>
      </c>
      <c r="P114" s="42" t="str">
        <f>+IF($P$5=0,"",'4. '!O71)</f>
        <v/>
      </c>
      <c r="Q114" s="42" t="str">
        <f>+IF($Q$5=0,"",'4. '!P71)</f>
        <v/>
      </c>
      <c r="R114" s="42" t="str">
        <f>+IF($R$5=0,"",'4. '!Q71)</f>
        <v/>
      </c>
      <c r="S114" s="42" t="str">
        <f>+IF($S$5=0,"",'4. '!R71)</f>
        <v/>
      </c>
      <c r="T114" s="42" t="str">
        <f>+IF($T$5=0,"",'4. '!S71)</f>
        <v/>
      </c>
      <c r="U114" s="42" t="str">
        <f>+IF($U$5=0,"",'4. '!T71)</f>
        <v/>
      </c>
      <c r="V114" s="42" t="str">
        <f>+IF($V$5=0,"",'4. '!U71)</f>
        <v/>
      </c>
      <c r="W114" s="42" t="str">
        <f>+IF($W$5=0,"",'4. '!V71)</f>
        <v/>
      </c>
      <c r="X114" s="42" t="str">
        <f>+IF($X$5=0,"",'4. '!W71)</f>
        <v/>
      </c>
      <c r="Y114" s="42" t="str">
        <f>+IF($Y$5=0,"",'4. '!X71)</f>
        <v/>
      </c>
      <c r="Z114" s="42" t="str">
        <f>+IF($Z$5=0,"",'4. '!Y71)</f>
        <v/>
      </c>
      <c r="AA114" s="42" t="str">
        <f>+IF($AA$5=0,"",'4. '!Z71)</f>
        <v/>
      </c>
      <c r="AB114" s="42" t="str">
        <f>+IF($AB$5=0,"",'4. '!AA71)</f>
        <v/>
      </c>
      <c r="AC114" s="42" t="str">
        <f>+IF($AC$5=0,"",'4. '!AB71)</f>
        <v/>
      </c>
      <c r="AD114" s="42" t="str">
        <f>+IF($AD$5=0,"",'4. '!AC71)</f>
        <v/>
      </c>
      <c r="AE114" s="42" t="str">
        <f>+IF($AE$5=0,"",'4. '!AD71)</f>
        <v/>
      </c>
      <c r="AF114" s="42" t="str">
        <f>+IF($AF$5=0,"",'4. '!AE71)</f>
        <v/>
      </c>
      <c r="AG114" s="50" t="e">
        <f t="shared" si="2"/>
        <v>#DIV/0!</v>
      </c>
      <c r="AH114" s="6"/>
      <c r="AI114"/>
      <c r="AJ114"/>
    </row>
    <row r="115" spans="1:36" s="1" customFormat="1" ht="15.75" thickBot="1" x14ac:dyDescent="0.3">
      <c r="A115"/>
      <c r="B115" s="10" t="s">
        <v>122</v>
      </c>
      <c r="C115" s="42" t="str">
        <f>+IF($C$5=0,"",'4. '!B76)</f>
        <v/>
      </c>
      <c r="D115" s="42" t="str">
        <f>+IF($D$5=0,"",'4. '!C76)</f>
        <v/>
      </c>
      <c r="E115" s="42" t="str">
        <f>+IF($E$5=0,"",'4. '!D76)</f>
        <v/>
      </c>
      <c r="F115" s="42" t="str">
        <f>+IF($F$5=0,"",'4. '!E76)</f>
        <v/>
      </c>
      <c r="G115" s="42" t="str">
        <f>+IF($G$5=0,"",'4. '!F76)</f>
        <v/>
      </c>
      <c r="H115" s="42" t="str">
        <f>+IF($H$5=0,"",'4. '!G76)</f>
        <v/>
      </c>
      <c r="I115" s="42" t="str">
        <f>+IF($I$5=0,"",'4. '!H76)</f>
        <v/>
      </c>
      <c r="J115" s="42" t="str">
        <f>+IF($J$5=0,"",'4. '!I76)</f>
        <v/>
      </c>
      <c r="K115" s="42" t="str">
        <f>+IF($K$5=0,"",'4. '!J76)</f>
        <v/>
      </c>
      <c r="L115" s="42" t="str">
        <f>+IF($L$5=0,"",'4. '!K76)</f>
        <v/>
      </c>
      <c r="M115" s="42" t="str">
        <f>+IF($M$5=0,"",'4. '!L76)</f>
        <v/>
      </c>
      <c r="N115" s="42" t="str">
        <f>+IF($N$5=0,"",'4. '!M76)</f>
        <v/>
      </c>
      <c r="O115" s="42" t="str">
        <f>+IF($O$5=0,"",'4. '!N76)</f>
        <v/>
      </c>
      <c r="P115" s="42" t="str">
        <f>+IF($P$5=0,"",'4. '!O76)</f>
        <v/>
      </c>
      <c r="Q115" s="42" t="str">
        <f>+IF($Q$5=0,"",'4. '!P76)</f>
        <v/>
      </c>
      <c r="R115" s="42" t="str">
        <f>+IF($R$5=0,"",'4. '!Q76)</f>
        <v/>
      </c>
      <c r="S115" s="42" t="str">
        <f>+IF($S$5=0,"",'4. '!R76)</f>
        <v/>
      </c>
      <c r="T115" s="42" t="str">
        <f>+IF($T$5=0,"",'4. '!S76)</f>
        <v/>
      </c>
      <c r="U115" s="42" t="str">
        <f>+IF($U$5=0,"",'4. '!T76)</f>
        <v/>
      </c>
      <c r="V115" s="42" t="str">
        <f>+IF($V$5=0,"",'4. '!U76)</f>
        <v/>
      </c>
      <c r="W115" s="42" t="str">
        <f>+IF($W$5=0,"",'4. '!V76)</f>
        <v/>
      </c>
      <c r="X115" s="42" t="str">
        <f>+IF($X$5=0,"",'4. '!W76)</f>
        <v/>
      </c>
      <c r="Y115" s="42" t="str">
        <f>+IF($Y$5=0,"",'4. '!X76)</f>
        <v/>
      </c>
      <c r="Z115" s="42" t="str">
        <f>+IF($Z$5=0,"",'4. '!Y76)</f>
        <v/>
      </c>
      <c r="AA115" s="42" t="str">
        <f>+IF($AA$5=0,"",'4. '!Z76)</f>
        <v/>
      </c>
      <c r="AB115" s="42" t="str">
        <f>+IF($AB$5=0,"",'4. '!AA76)</f>
        <v/>
      </c>
      <c r="AC115" s="42" t="str">
        <f>+IF($AC$5=0,"",'4. '!AB76)</f>
        <v/>
      </c>
      <c r="AD115" s="42" t="str">
        <f>+IF($AD$5=0,"",'4. '!AC76)</f>
        <v/>
      </c>
      <c r="AE115" s="42" t="str">
        <f>+IF($AE$5=0,"",'4. '!AD76)</f>
        <v/>
      </c>
      <c r="AF115" s="42" t="str">
        <f>+IF($AF$5=0,"",'4. '!AE76)</f>
        <v/>
      </c>
      <c r="AG115" s="50" t="e">
        <f t="shared" si="2"/>
        <v>#DIV/0!</v>
      </c>
      <c r="AH115" s="6"/>
      <c r="AI115"/>
      <c r="AJ115"/>
    </row>
    <row r="116" spans="1:36" s="1" customFormat="1" ht="15.75" thickBot="1" x14ac:dyDescent="0.3">
      <c r="A116"/>
      <c r="B116" s="11" t="s">
        <v>119</v>
      </c>
      <c r="C116" s="42" t="str">
        <f>+IF($C$5=0,"",'4. '!B73)</f>
        <v/>
      </c>
      <c r="D116" s="42" t="str">
        <f>+IF($D$5=0,"",'4. '!C73)</f>
        <v/>
      </c>
      <c r="E116" s="42" t="str">
        <f>+IF($E$5=0,"",'4. '!D73)</f>
        <v/>
      </c>
      <c r="F116" s="42" t="str">
        <f>+IF($F$5=0,"",'4. '!E73)</f>
        <v/>
      </c>
      <c r="G116" s="42" t="str">
        <f>+IF($G$5=0,"",'4. '!F73)</f>
        <v/>
      </c>
      <c r="H116" s="42" t="str">
        <f>+IF($H$5=0,"",'4. '!G73)</f>
        <v/>
      </c>
      <c r="I116" s="42" t="str">
        <f>+IF($I$5=0,"",'4. '!H73)</f>
        <v/>
      </c>
      <c r="J116" s="42" t="str">
        <f>+IF($J$5=0,"",'4. '!I73)</f>
        <v/>
      </c>
      <c r="K116" s="42" t="str">
        <f>+IF($K$5=0,"",'4. '!J73)</f>
        <v/>
      </c>
      <c r="L116" s="42" t="str">
        <f>+IF($L$5=0,"",'4. '!K73)</f>
        <v/>
      </c>
      <c r="M116" s="42" t="str">
        <f>+IF($M$5=0,"",'4. '!L73)</f>
        <v/>
      </c>
      <c r="N116" s="42" t="str">
        <f>+IF($N$5=0,"",'4. '!M73)</f>
        <v/>
      </c>
      <c r="O116" s="42" t="str">
        <f>+IF($O$5=0,"",'4. '!N73)</f>
        <v/>
      </c>
      <c r="P116" s="42" t="str">
        <f>+IF($P$5=0,"",'4. '!O73)</f>
        <v/>
      </c>
      <c r="Q116" s="42" t="str">
        <f>+IF($Q$5=0,"",'4. '!P73)</f>
        <v/>
      </c>
      <c r="R116" s="42" t="str">
        <f>+IF($R$5=0,"",'4. '!Q73)</f>
        <v/>
      </c>
      <c r="S116" s="42" t="str">
        <f>+IF($S$5=0,"",'4. '!R73)</f>
        <v/>
      </c>
      <c r="T116" s="42" t="str">
        <f>+IF($T$5=0,"",'4. '!S73)</f>
        <v/>
      </c>
      <c r="U116" s="42" t="str">
        <f>+IF($U$5=0,"",'4. '!T73)</f>
        <v/>
      </c>
      <c r="V116" s="42" t="str">
        <f>+IF($V$5=0,"",'4. '!U73)</f>
        <v/>
      </c>
      <c r="W116" s="42" t="str">
        <f>+IF($W$5=0,"",'4. '!V73)</f>
        <v/>
      </c>
      <c r="X116" s="42" t="str">
        <f>+IF($X$5=0,"",'4. '!W73)</f>
        <v/>
      </c>
      <c r="Y116" s="42" t="str">
        <f>+IF($Y$5=0,"",'4. '!X73)</f>
        <v/>
      </c>
      <c r="Z116" s="42" t="str">
        <f>+IF($Z$5=0,"",'4. '!Y73)</f>
        <v/>
      </c>
      <c r="AA116" s="42" t="str">
        <f>+IF($AA$5=0,"",'4. '!Z73)</f>
        <v/>
      </c>
      <c r="AB116" s="42" t="str">
        <f>+IF($AB$5=0,"",'4. '!AA73)</f>
        <v/>
      </c>
      <c r="AC116" s="42" t="str">
        <f>+IF($AC$5=0,"",'4. '!AB73)</f>
        <v/>
      </c>
      <c r="AD116" s="42" t="str">
        <f>+IF($AD$5=0,"",'4. '!AC73)</f>
        <v/>
      </c>
      <c r="AE116" s="42" t="str">
        <f>+IF($AE$5=0,"",'4. '!AD73)</f>
        <v/>
      </c>
      <c r="AF116" s="42" t="str">
        <f>+IF($AF$5=0,"",'4. '!AE73)</f>
        <v/>
      </c>
      <c r="AG116" s="50" t="e">
        <f t="shared" si="2"/>
        <v>#DIV/0!</v>
      </c>
      <c r="AH116" s="6"/>
      <c r="AI116"/>
      <c r="AJ116"/>
    </row>
    <row r="117" spans="1:36" s="1" customFormat="1" ht="15.75" thickBot="1" x14ac:dyDescent="0.3">
      <c r="A117"/>
      <c r="B117" s="10" t="s">
        <v>204</v>
      </c>
      <c r="C117" s="42" t="str">
        <f>+IF($C$5=0,"",'4. '!B146)</f>
        <v/>
      </c>
      <c r="D117" s="42" t="str">
        <f>+IF($D$5=0,"",'4. '!C146)</f>
        <v/>
      </c>
      <c r="E117" s="42" t="str">
        <f>+IF($E$5=0,"",'4. '!D146)</f>
        <v/>
      </c>
      <c r="F117" s="42" t="str">
        <f>+IF($F$5=0,"",'4. '!E146)</f>
        <v/>
      </c>
      <c r="G117" s="42" t="str">
        <f>+IF($G$5=0,"",'4. '!F146)</f>
        <v/>
      </c>
      <c r="H117" s="42" t="str">
        <f>+IF($H$5=0,"",'4. '!G146)</f>
        <v/>
      </c>
      <c r="I117" s="42" t="str">
        <f>+IF($I$5=0,"",'4. '!H146)</f>
        <v/>
      </c>
      <c r="J117" s="42" t="str">
        <f>+IF($J$5=0,"",'4. '!I146)</f>
        <v/>
      </c>
      <c r="K117" s="42" t="str">
        <f>+IF($K$5=0,"",'4. '!J146)</f>
        <v/>
      </c>
      <c r="L117" s="42" t="str">
        <f>+IF($L$5=0,"",'4. '!K146)</f>
        <v/>
      </c>
      <c r="M117" s="42" t="str">
        <f>+IF($M$5=0,"",'4. '!L146)</f>
        <v/>
      </c>
      <c r="N117" s="42" t="str">
        <f>+IF($N$5=0,"",'4. '!M146)</f>
        <v/>
      </c>
      <c r="O117" s="42" t="str">
        <f>+IF($O$5=0,"",'4. '!N146)</f>
        <v/>
      </c>
      <c r="P117" s="42" t="str">
        <f>+IF($P$5=0,"",'4. '!O146)</f>
        <v/>
      </c>
      <c r="Q117" s="42" t="str">
        <f>+IF($Q$5=0,"",'4. '!P146)</f>
        <v/>
      </c>
      <c r="R117" s="42" t="str">
        <f>+IF($R$5=0,"",'4. '!Q146)</f>
        <v/>
      </c>
      <c r="S117" s="42" t="str">
        <f>+IF($S$5=0,"",'4. '!R146)</f>
        <v/>
      </c>
      <c r="T117" s="42" t="str">
        <f>+IF($T$5=0,"",'4. '!S146)</f>
        <v/>
      </c>
      <c r="U117" s="42" t="str">
        <f>+IF($U$5=0,"",'4. '!T146)</f>
        <v/>
      </c>
      <c r="V117" s="42" t="str">
        <f>+IF($V$5=0,"",'4. '!U146)</f>
        <v/>
      </c>
      <c r="W117" s="42" t="str">
        <f>+IF($W$5=0,"",'4. '!V146)</f>
        <v/>
      </c>
      <c r="X117" s="42" t="str">
        <f>+IF($X$5=0,"",'4. '!W146)</f>
        <v/>
      </c>
      <c r="Y117" s="42" t="str">
        <f>+IF($Y$5=0,"",'4. '!X146)</f>
        <v/>
      </c>
      <c r="Z117" s="42" t="str">
        <f>+IF($Z$5=0,"",'4. '!Y146)</f>
        <v/>
      </c>
      <c r="AA117" s="42" t="str">
        <f>+IF($AA$5=0,"",'4. '!Z146)</f>
        <v/>
      </c>
      <c r="AB117" s="42" t="str">
        <f>+IF($AB$5=0,"",'4. '!AA146)</f>
        <v/>
      </c>
      <c r="AC117" s="42" t="str">
        <f>+IF($AC$5=0,"",'4. '!AB146)</f>
        <v/>
      </c>
      <c r="AD117" s="42" t="str">
        <f>+IF($AD$5=0,"",'4. '!AC146)</f>
        <v/>
      </c>
      <c r="AE117" s="42" t="str">
        <f>+IF($AE$5=0,"",'4. '!AD146)</f>
        <v/>
      </c>
      <c r="AF117" s="42" t="str">
        <f>+IF($AF$5=0,"",'4. '!AE146)</f>
        <v/>
      </c>
      <c r="AG117" s="50" t="e">
        <f t="shared" si="2"/>
        <v>#DIV/0!</v>
      </c>
      <c r="AH117" s="6"/>
      <c r="AI117"/>
      <c r="AJ117"/>
    </row>
    <row r="118" spans="1:36" s="1" customFormat="1" ht="15.75" thickBot="1" x14ac:dyDescent="0.3">
      <c r="A118"/>
      <c r="B118" s="11" t="s">
        <v>201</v>
      </c>
      <c r="C118" s="42" t="str">
        <f>+IF($C$5=0,"",'4. '!B143)</f>
        <v/>
      </c>
      <c r="D118" s="42" t="str">
        <f>+IF($D$5=0,"",'4. '!C143)</f>
        <v/>
      </c>
      <c r="E118" s="42" t="str">
        <f>+IF($E$5=0,"",'4. '!D143)</f>
        <v/>
      </c>
      <c r="F118" s="42" t="str">
        <f>+IF($F$5=0,"",'4. '!E143)</f>
        <v/>
      </c>
      <c r="G118" s="42" t="str">
        <f>+IF($G$5=0,"",'4. '!F143)</f>
        <v/>
      </c>
      <c r="H118" s="42" t="str">
        <f>+IF($H$5=0,"",'4. '!G143)</f>
        <v/>
      </c>
      <c r="I118" s="42" t="str">
        <f>+IF($I$5=0,"",'4. '!H143)</f>
        <v/>
      </c>
      <c r="J118" s="42" t="str">
        <f>+IF($J$5=0,"",'4. '!I143)</f>
        <v/>
      </c>
      <c r="K118" s="42" t="str">
        <f>+IF($K$5=0,"",'4. '!J143)</f>
        <v/>
      </c>
      <c r="L118" s="42" t="str">
        <f>+IF($L$5=0,"",'4. '!K143)</f>
        <v/>
      </c>
      <c r="M118" s="42" t="str">
        <f>+IF($M$5=0,"",'4. '!L143)</f>
        <v/>
      </c>
      <c r="N118" s="42" t="str">
        <f>+IF($N$5=0,"",'4. '!M143)</f>
        <v/>
      </c>
      <c r="O118" s="42" t="str">
        <f>+IF($O$5=0,"",'4. '!N143)</f>
        <v/>
      </c>
      <c r="P118" s="42" t="str">
        <f>+IF($P$5=0,"",'4. '!O143)</f>
        <v/>
      </c>
      <c r="Q118" s="42" t="str">
        <f>+IF($Q$5=0,"",'4. '!P143)</f>
        <v/>
      </c>
      <c r="R118" s="42" t="str">
        <f>+IF($R$5=0,"",'4. '!Q143)</f>
        <v/>
      </c>
      <c r="S118" s="42" t="str">
        <f>+IF($S$5=0,"",'4. '!R143)</f>
        <v/>
      </c>
      <c r="T118" s="42" t="str">
        <f>+IF($T$5=0,"",'4. '!S143)</f>
        <v/>
      </c>
      <c r="U118" s="42" t="str">
        <f>+IF($U$5=0,"",'4. '!T143)</f>
        <v/>
      </c>
      <c r="V118" s="42" t="str">
        <f>+IF($V$5=0,"",'4. '!U143)</f>
        <v/>
      </c>
      <c r="W118" s="42" t="str">
        <f>+IF($W$5=0,"",'4. '!V143)</f>
        <v/>
      </c>
      <c r="X118" s="42" t="str">
        <f>+IF($X$5=0,"",'4. '!W143)</f>
        <v/>
      </c>
      <c r="Y118" s="42" t="str">
        <f>+IF($Y$5=0,"",'4. '!X143)</f>
        <v/>
      </c>
      <c r="Z118" s="42" t="str">
        <f>+IF($Z$5=0,"",'4. '!Y143)</f>
        <v/>
      </c>
      <c r="AA118" s="42" t="str">
        <f>+IF($AA$5=0,"",'4. '!Z143)</f>
        <v/>
      </c>
      <c r="AB118" s="42" t="str">
        <f>+IF($AB$5=0,"",'4. '!AA143)</f>
        <v/>
      </c>
      <c r="AC118" s="42" t="str">
        <f>+IF($AC$5=0,"",'4. '!AB143)</f>
        <v/>
      </c>
      <c r="AD118" s="42" t="str">
        <f>+IF($AD$5=0,"",'4. '!AC143)</f>
        <v/>
      </c>
      <c r="AE118" s="42" t="str">
        <f>+IF($AE$5=0,"",'4. '!AD143)</f>
        <v/>
      </c>
      <c r="AF118" s="42" t="str">
        <f>+IF($AF$5=0,"",'4. '!AE143)</f>
        <v/>
      </c>
      <c r="AG118" s="50" t="e">
        <f t="shared" si="2"/>
        <v>#DIV/0!</v>
      </c>
      <c r="AH118" s="6"/>
      <c r="AI118"/>
      <c r="AJ118"/>
    </row>
    <row r="119" spans="1:36" s="1" customFormat="1" ht="15.75" thickBot="1" x14ac:dyDescent="0.3">
      <c r="A119"/>
      <c r="B119" s="10" t="s">
        <v>206</v>
      </c>
      <c r="C119" s="42" t="str">
        <f>+IF($C$5=0,"",'4. '!B148)</f>
        <v/>
      </c>
      <c r="D119" s="42" t="str">
        <f>+IF($D$5=0,"",'4. '!C148)</f>
        <v/>
      </c>
      <c r="E119" s="42" t="str">
        <f>+IF($E$5=0,"",'4. '!D148)</f>
        <v/>
      </c>
      <c r="F119" s="42" t="str">
        <f>+IF($F$5=0,"",'4. '!E148)</f>
        <v/>
      </c>
      <c r="G119" s="42" t="str">
        <f>+IF($G$5=0,"",'4. '!F148)</f>
        <v/>
      </c>
      <c r="H119" s="42" t="str">
        <f>+IF($H$5=0,"",'4. '!G148)</f>
        <v/>
      </c>
      <c r="I119" s="42" t="str">
        <f>+IF($I$5=0,"",'4. '!H148)</f>
        <v/>
      </c>
      <c r="J119" s="42" t="str">
        <f>+IF($J$5=0,"",'4. '!I148)</f>
        <v/>
      </c>
      <c r="K119" s="42" t="str">
        <f>+IF($K$5=0,"",'4. '!J148)</f>
        <v/>
      </c>
      <c r="L119" s="42" t="str">
        <f>+IF($L$5=0,"",'4. '!K148)</f>
        <v/>
      </c>
      <c r="M119" s="42" t="str">
        <f>+IF($M$5=0,"",'4. '!L148)</f>
        <v/>
      </c>
      <c r="N119" s="42" t="str">
        <f>+IF($N$5=0,"",'4. '!M148)</f>
        <v/>
      </c>
      <c r="O119" s="42" t="str">
        <f>+IF($O$5=0,"",'4. '!N148)</f>
        <v/>
      </c>
      <c r="P119" s="42" t="str">
        <f>+IF($P$5=0,"",'4. '!O148)</f>
        <v/>
      </c>
      <c r="Q119" s="42" t="str">
        <f>+IF($Q$5=0,"",'4. '!P148)</f>
        <v/>
      </c>
      <c r="R119" s="42" t="str">
        <f>+IF($R$5=0,"",'4. '!Q148)</f>
        <v/>
      </c>
      <c r="S119" s="42" t="str">
        <f>+IF($S$5=0,"",'4. '!R148)</f>
        <v/>
      </c>
      <c r="T119" s="42" t="str">
        <f>+IF($T$5=0,"",'4. '!S148)</f>
        <v/>
      </c>
      <c r="U119" s="42" t="str">
        <f>+IF($U$5=0,"",'4. '!T148)</f>
        <v/>
      </c>
      <c r="V119" s="42" t="str">
        <f>+IF($V$5=0,"",'4. '!U148)</f>
        <v/>
      </c>
      <c r="W119" s="42" t="str">
        <f>+IF($W$5=0,"",'4. '!V148)</f>
        <v/>
      </c>
      <c r="X119" s="42" t="str">
        <f>+IF($X$5=0,"",'4. '!W148)</f>
        <v/>
      </c>
      <c r="Y119" s="42" t="str">
        <f>+IF($Y$5=0,"",'4. '!X148)</f>
        <v/>
      </c>
      <c r="Z119" s="42" t="str">
        <f>+IF($Z$5=0,"",'4. '!Y148)</f>
        <v/>
      </c>
      <c r="AA119" s="42" t="str">
        <f>+IF($AA$5=0,"",'4. '!Z148)</f>
        <v/>
      </c>
      <c r="AB119" s="42" t="str">
        <f>+IF($AB$5=0,"",'4. '!AA148)</f>
        <v/>
      </c>
      <c r="AC119" s="42" t="str">
        <f>+IF($AC$5=0,"",'4. '!AB148)</f>
        <v/>
      </c>
      <c r="AD119" s="42" t="str">
        <f>+IF($AD$5=0,"",'4. '!AC148)</f>
        <v/>
      </c>
      <c r="AE119" s="42" t="str">
        <f>+IF($AE$5=0,"",'4. '!AD148)</f>
        <v/>
      </c>
      <c r="AF119" s="42" t="str">
        <f>+IF($AF$5=0,"",'4. '!AE148)</f>
        <v/>
      </c>
      <c r="AG119" s="50" t="e">
        <f t="shared" si="2"/>
        <v>#DIV/0!</v>
      </c>
      <c r="AH119" s="6"/>
      <c r="AI119"/>
      <c r="AJ119"/>
    </row>
    <row r="120" spans="1:36" s="1" customFormat="1" ht="15.75" thickBot="1" x14ac:dyDescent="0.3">
      <c r="A120"/>
      <c r="B120" s="11" t="s">
        <v>203</v>
      </c>
      <c r="C120" s="42" t="str">
        <f>+IF($C$5=0,"",'4. '!B145)</f>
        <v/>
      </c>
      <c r="D120" s="42" t="str">
        <f>+IF($D$5=0,"",'4. '!C145)</f>
        <v/>
      </c>
      <c r="E120" s="42" t="str">
        <f>+IF($E$5=0,"",'4. '!D145)</f>
        <v/>
      </c>
      <c r="F120" s="42" t="str">
        <f>+IF($F$5=0,"",'4. '!E145)</f>
        <v/>
      </c>
      <c r="G120" s="42" t="str">
        <f>+IF($G$5=0,"",'4. '!F145)</f>
        <v/>
      </c>
      <c r="H120" s="42" t="str">
        <f>+IF($H$5=0,"",'4. '!G145)</f>
        <v/>
      </c>
      <c r="I120" s="42" t="str">
        <f>+IF($I$5=0,"",'4. '!H145)</f>
        <v/>
      </c>
      <c r="J120" s="42" t="str">
        <f>+IF($J$5=0,"",'4. '!I145)</f>
        <v/>
      </c>
      <c r="K120" s="42" t="str">
        <f>+IF($K$5=0,"",'4. '!J145)</f>
        <v/>
      </c>
      <c r="L120" s="42" t="str">
        <f>+IF($L$5=0,"",'4. '!K145)</f>
        <v/>
      </c>
      <c r="M120" s="42" t="str">
        <f>+IF($M$5=0,"",'4. '!L145)</f>
        <v/>
      </c>
      <c r="N120" s="42" t="str">
        <f>+IF($N$5=0,"",'4. '!M145)</f>
        <v/>
      </c>
      <c r="O120" s="42" t="str">
        <f>+IF($O$5=0,"",'4. '!N145)</f>
        <v/>
      </c>
      <c r="P120" s="42" t="str">
        <f>+IF($P$5=0,"",'4. '!O145)</f>
        <v/>
      </c>
      <c r="Q120" s="42" t="str">
        <f>+IF($Q$5=0,"",'4. '!P145)</f>
        <v/>
      </c>
      <c r="R120" s="42" t="str">
        <f>+IF($R$5=0,"",'4. '!Q145)</f>
        <v/>
      </c>
      <c r="S120" s="42" t="str">
        <f>+IF($S$5=0,"",'4. '!R145)</f>
        <v/>
      </c>
      <c r="T120" s="42" t="str">
        <f>+IF($T$5=0,"",'4. '!S145)</f>
        <v/>
      </c>
      <c r="U120" s="42" t="str">
        <f>+IF($U$5=0,"",'4. '!T145)</f>
        <v/>
      </c>
      <c r="V120" s="42" t="str">
        <f>+IF($V$5=0,"",'4. '!U145)</f>
        <v/>
      </c>
      <c r="W120" s="42" t="str">
        <f>+IF($W$5=0,"",'4. '!V145)</f>
        <v/>
      </c>
      <c r="X120" s="42" t="str">
        <f>+IF($X$5=0,"",'4. '!W145)</f>
        <v/>
      </c>
      <c r="Y120" s="42" t="str">
        <f>+IF($Y$5=0,"",'4. '!X145)</f>
        <v/>
      </c>
      <c r="Z120" s="42" t="str">
        <f>+IF($Z$5=0,"",'4. '!Y145)</f>
        <v/>
      </c>
      <c r="AA120" s="42" t="str">
        <f>+IF($AA$5=0,"",'4. '!Z145)</f>
        <v/>
      </c>
      <c r="AB120" s="42" t="str">
        <f>+IF($AB$5=0,"",'4. '!AA145)</f>
        <v/>
      </c>
      <c r="AC120" s="42" t="str">
        <f>+IF($AC$5=0,"",'4. '!AB145)</f>
        <v/>
      </c>
      <c r="AD120" s="42" t="str">
        <f>+IF($AD$5=0,"",'4. '!AC145)</f>
        <v/>
      </c>
      <c r="AE120" s="42" t="str">
        <f>+IF($AE$5=0,"",'4. '!AD145)</f>
        <v/>
      </c>
      <c r="AF120" s="42" t="str">
        <f>+IF($AF$5=0,"",'4. '!AE145)</f>
        <v/>
      </c>
      <c r="AG120" s="50" t="e">
        <f t="shared" si="2"/>
        <v>#DIV/0!</v>
      </c>
      <c r="AH120" s="6"/>
      <c r="AI120"/>
      <c r="AJ120"/>
    </row>
    <row r="121" spans="1:36" s="1" customFormat="1" ht="15.75" thickBot="1" x14ac:dyDescent="0.3">
      <c r="A121"/>
      <c r="B121" s="10" t="s">
        <v>111</v>
      </c>
      <c r="C121" s="42" t="str">
        <f>+IF($C$5=0,"",'4. '!B65)</f>
        <v/>
      </c>
      <c r="D121" s="42" t="str">
        <f>+IF($D$5=0,"",'4. '!C65)</f>
        <v/>
      </c>
      <c r="E121" s="42" t="str">
        <f>+IF($E$5=0,"",'4. '!D65)</f>
        <v/>
      </c>
      <c r="F121" s="42" t="str">
        <f>+IF($F$5=0,"",'4. '!E65)</f>
        <v/>
      </c>
      <c r="G121" s="42" t="str">
        <f>+IF($G$5=0,"",'4. '!F65)</f>
        <v/>
      </c>
      <c r="H121" s="42" t="str">
        <f>+IF($H$5=0,"",'4. '!G65)</f>
        <v/>
      </c>
      <c r="I121" s="42" t="str">
        <f>+IF($I$5=0,"",'4. '!H65)</f>
        <v/>
      </c>
      <c r="J121" s="42" t="str">
        <f>+IF($J$5=0,"",'4. '!I65)</f>
        <v/>
      </c>
      <c r="K121" s="42" t="str">
        <f>+IF($K$5=0,"",'4. '!J65)</f>
        <v/>
      </c>
      <c r="L121" s="42" t="str">
        <f>+IF($L$5=0,"",'4. '!K65)</f>
        <v/>
      </c>
      <c r="M121" s="42" t="str">
        <f>+IF($M$5=0,"",'4. '!L65)</f>
        <v/>
      </c>
      <c r="N121" s="42" t="str">
        <f>+IF($N$5=0,"",'4. '!M65)</f>
        <v/>
      </c>
      <c r="O121" s="42" t="str">
        <f>+IF($O$5=0,"",'4. '!N65)</f>
        <v/>
      </c>
      <c r="P121" s="42" t="str">
        <f>+IF($P$5=0,"",'4. '!O65)</f>
        <v/>
      </c>
      <c r="Q121" s="42" t="str">
        <f>+IF($Q$5=0,"",'4. '!P65)</f>
        <v/>
      </c>
      <c r="R121" s="42" t="str">
        <f>+IF($R$5=0,"",'4. '!Q65)</f>
        <v/>
      </c>
      <c r="S121" s="42" t="str">
        <f>+IF($S$5=0,"",'4. '!R65)</f>
        <v/>
      </c>
      <c r="T121" s="42" t="str">
        <f>+IF($T$5=0,"",'4. '!S65)</f>
        <v/>
      </c>
      <c r="U121" s="42" t="str">
        <f>+IF($U$5=0,"",'4. '!T65)</f>
        <v/>
      </c>
      <c r="V121" s="42" t="str">
        <f>+IF($V$5=0,"",'4. '!U65)</f>
        <v/>
      </c>
      <c r="W121" s="42" t="str">
        <f>+IF($W$5=0,"",'4. '!V65)</f>
        <v/>
      </c>
      <c r="X121" s="42" t="str">
        <f>+IF($X$5=0,"",'4. '!W65)</f>
        <v/>
      </c>
      <c r="Y121" s="42" t="str">
        <f>+IF($Y$5=0,"",'4. '!X65)</f>
        <v/>
      </c>
      <c r="Z121" s="42" t="str">
        <f>+IF($Z$5=0,"",'4. '!Y65)</f>
        <v/>
      </c>
      <c r="AA121" s="42" t="str">
        <f>+IF($AA$5=0,"",'4. '!Z65)</f>
        <v/>
      </c>
      <c r="AB121" s="42" t="str">
        <f>+IF($AB$5=0,"",'4. '!AA65)</f>
        <v/>
      </c>
      <c r="AC121" s="42" t="str">
        <f>+IF($AC$5=0,"",'4. '!AB65)</f>
        <v/>
      </c>
      <c r="AD121" s="42" t="str">
        <f>+IF($AD$5=0,"",'4. '!AC65)</f>
        <v/>
      </c>
      <c r="AE121" s="42" t="str">
        <f>+IF($AE$5=0,"",'4. '!AD65)</f>
        <v/>
      </c>
      <c r="AF121" s="42" t="str">
        <f>+IF($AF$5=0,"",'4. '!AE65)</f>
        <v/>
      </c>
      <c r="AG121" s="50" t="e">
        <f t="shared" si="2"/>
        <v>#DIV/0!</v>
      </c>
      <c r="AH121" s="6"/>
      <c r="AI121"/>
      <c r="AJ121"/>
    </row>
    <row r="122" spans="1:36" s="1" customFormat="1" ht="15.75" thickBot="1" x14ac:dyDescent="0.3">
      <c r="A122"/>
      <c r="B122" s="11" t="s">
        <v>108</v>
      </c>
      <c r="C122" s="42" t="str">
        <f>+IF($C$5=0,"",'4. '!B62)</f>
        <v/>
      </c>
      <c r="D122" s="42" t="str">
        <f>+IF($D$5=0,"",'4. '!C62)</f>
        <v/>
      </c>
      <c r="E122" s="42" t="str">
        <f>+IF($E$5=0,"",'4. '!D62)</f>
        <v/>
      </c>
      <c r="F122" s="42" t="str">
        <f>+IF($F$5=0,"",'4. '!E62)</f>
        <v/>
      </c>
      <c r="G122" s="42" t="str">
        <f>+IF($G$5=0,"",'4. '!F62)</f>
        <v/>
      </c>
      <c r="H122" s="42" t="str">
        <f>+IF($H$5=0,"",'4. '!G62)</f>
        <v/>
      </c>
      <c r="I122" s="42" t="str">
        <f>+IF($I$5=0,"",'4. '!H62)</f>
        <v/>
      </c>
      <c r="J122" s="42" t="str">
        <f>+IF($J$5=0,"",'4. '!I62)</f>
        <v/>
      </c>
      <c r="K122" s="42" t="str">
        <f>+IF($K$5=0,"",'4. '!J62)</f>
        <v/>
      </c>
      <c r="L122" s="42" t="str">
        <f>+IF($L$5=0,"",'4. '!K62)</f>
        <v/>
      </c>
      <c r="M122" s="42" t="str">
        <f>+IF($M$5=0,"",'4. '!L62)</f>
        <v/>
      </c>
      <c r="N122" s="42" t="str">
        <f>+IF($N$5=0,"",'4. '!M62)</f>
        <v/>
      </c>
      <c r="O122" s="42" t="str">
        <f>+IF($O$5=0,"",'4. '!N62)</f>
        <v/>
      </c>
      <c r="P122" s="42" t="str">
        <f>+IF($P$5=0,"",'4. '!O62)</f>
        <v/>
      </c>
      <c r="Q122" s="42" t="str">
        <f>+IF($Q$5=0,"",'4. '!P62)</f>
        <v/>
      </c>
      <c r="R122" s="42" t="str">
        <f>+IF($R$5=0,"",'4. '!Q62)</f>
        <v/>
      </c>
      <c r="S122" s="42" t="str">
        <f>+IF($S$5=0,"",'4. '!R62)</f>
        <v/>
      </c>
      <c r="T122" s="42" t="str">
        <f>+IF($T$5=0,"",'4. '!S62)</f>
        <v/>
      </c>
      <c r="U122" s="42" t="str">
        <f>+IF($U$5=0,"",'4. '!T62)</f>
        <v/>
      </c>
      <c r="V122" s="42" t="str">
        <f>+IF($V$5=0,"",'4. '!U62)</f>
        <v/>
      </c>
      <c r="W122" s="42" t="str">
        <f>+IF($W$5=0,"",'4. '!V62)</f>
        <v/>
      </c>
      <c r="X122" s="42" t="str">
        <f>+IF($X$5=0,"",'4. '!W62)</f>
        <v/>
      </c>
      <c r="Y122" s="42" t="str">
        <f>+IF($Y$5=0,"",'4. '!X62)</f>
        <v/>
      </c>
      <c r="Z122" s="42" t="str">
        <f>+IF($Z$5=0,"",'4. '!Y62)</f>
        <v/>
      </c>
      <c r="AA122" s="42" t="str">
        <f>+IF($AA$5=0,"",'4. '!Z62)</f>
        <v/>
      </c>
      <c r="AB122" s="42" t="str">
        <f>+IF($AB$5=0,"",'4. '!AA62)</f>
        <v/>
      </c>
      <c r="AC122" s="42" t="str">
        <f>+IF($AC$5=0,"",'4. '!AB62)</f>
        <v/>
      </c>
      <c r="AD122" s="42" t="str">
        <f>+IF($AD$5=0,"",'4. '!AC62)</f>
        <v/>
      </c>
      <c r="AE122" s="42" t="str">
        <f>+IF($AE$5=0,"",'4. '!AD62)</f>
        <v/>
      </c>
      <c r="AF122" s="42" t="str">
        <f>+IF($AF$5=0,"",'4. '!AE62)</f>
        <v/>
      </c>
      <c r="AG122" s="50" t="e">
        <f t="shared" si="2"/>
        <v>#DIV/0!</v>
      </c>
      <c r="AH122" s="6"/>
      <c r="AI122"/>
      <c r="AJ122"/>
    </row>
    <row r="123" spans="1:36" s="1" customFormat="1" ht="15.75" thickBot="1" x14ac:dyDescent="0.3">
      <c r="A123"/>
      <c r="B123" s="10" t="s">
        <v>113</v>
      </c>
      <c r="C123" s="42" t="str">
        <f>+IF($C$5=0,"",'4. '!B67)</f>
        <v/>
      </c>
      <c r="D123" s="42" t="str">
        <f>+IF($D$5=0,"",'4. '!C67)</f>
        <v/>
      </c>
      <c r="E123" s="42" t="str">
        <f>+IF($E$5=0,"",'4. '!D67)</f>
        <v/>
      </c>
      <c r="F123" s="42" t="str">
        <f>+IF($F$5=0,"",'4. '!E67)</f>
        <v/>
      </c>
      <c r="G123" s="42" t="str">
        <f>+IF($G$5=0,"",'4. '!F67)</f>
        <v/>
      </c>
      <c r="H123" s="42" t="str">
        <f>+IF($H$5=0,"",'4. '!G67)</f>
        <v/>
      </c>
      <c r="I123" s="42" t="str">
        <f>+IF($I$5=0,"",'4. '!H67)</f>
        <v/>
      </c>
      <c r="J123" s="42" t="str">
        <f>+IF($J$5=0,"",'4. '!I67)</f>
        <v/>
      </c>
      <c r="K123" s="42" t="str">
        <f>+IF($K$5=0,"",'4. '!J67)</f>
        <v/>
      </c>
      <c r="L123" s="42" t="str">
        <f>+IF($L$5=0,"",'4. '!K67)</f>
        <v/>
      </c>
      <c r="M123" s="42" t="str">
        <f>+IF($M$5=0,"",'4. '!L67)</f>
        <v/>
      </c>
      <c r="N123" s="42" t="str">
        <f>+IF($N$5=0,"",'4. '!M67)</f>
        <v/>
      </c>
      <c r="O123" s="42" t="str">
        <f>+IF($O$5=0,"",'4. '!N67)</f>
        <v/>
      </c>
      <c r="P123" s="42" t="str">
        <f>+IF($P$5=0,"",'4. '!O67)</f>
        <v/>
      </c>
      <c r="Q123" s="42" t="str">
        <f>+IF($Q$5=0,"",'4. '!P67)</f>
        <v/>
      </c>
      <c r="R123" s="42" t="str">
        <f>+IF($R$5=0,"",'4. '!Q67)</f>
        <v/>
      </c>
      <c r="S123" s="42" t="str">
        <f>+IF($S$5=0,"",'4. '!R67)</f>
        <v/>
      </c>
      <c r="T123" s="42" t="str">
        <f>+IF($T$5=0,"",'4. '!S67)</f>
        <v/>
      </c>
      <c r="U123" s="42" t="str">
        <f>+IF($U$5=0,"",'4. '!T67)</f>
        <v/>
      </c>
      <c r="V123" s="42" t="str">
        <f>+IF($V$5=0,"",'4. '!U67)</f>
        <v/>
      </c>
      <c r="W123" s="42" t="str">
        <f>+IF($W$5=0,"",'4. '!V67)</f>
        <v/>
      </c>
      <c r="X123" s="42" t="str">
        <f>+IF($X$5=0,"",'4. '!W67)</f>
        <v/>
      </c>
      <c r="Y123" s="42" t="str">
        <f>+IF($Y$5=0,"",'4. '!X67)</f>
        <v/>
      </c>
      <c r="Z123" s="42" t="str">
        <f>+IF($Z$5=0,"",'4. '!Y67)</f>
        <v/>
      </c>
      <c r="AA123" s="42" t="str">
        <f>+IF($AA$5=0,"",'4. '!Z67)</f>
        <v/>
      </c>
      <c r="AB123" s="42" t="str">
        <f>+IF($AB$5=0,"",'4. '!AA67)</f>
        <v/>
      </c>
      <c r="AC123" s="42" t="str">
        <f>+IF($AC$5=0,"",'4. '!AB67)</f>
        <v/>
      </c>
      <c r="AD123" s="42" t="str">
        <f>+IF($AD$5=0,"",'4. '!AC67)</f>
        <v/>
      </c>
      <c r="AE123" s="42" t="str">
        <f>+IF($AE$5=0,"",'4. '!AD67)</f>
        <v/>
      </c>
      <c r="AF123" s="42" t="str">
        <f>+IF($AF$5=0,"",'4. '!AE67)</f>
        <v/>
      </c>
      <c r="AG123" s="50" t="e">
        <f t="shared" si="2"/>
        <v>#DIV/0!</v>
      </c>
      <c r="AH123" s="6"/>
      <c r="AI123"/>
      <c r="AJ123"/>
    </row>
    <row r="124" spans="1:36" s="1" customFormat="1" ht="15.75" thickBot="1" x14ac:dyDescent="0.3">
      <c r="A124"/>
      <c r="B124" s="11" t="s">
        <v>110</v>
      </c>
      <c r="C124" s="42" t="str">
        <f>+IF($C$5=0,"",'4. '!B64)</f>
        <v/>
      </c>
      <c r="D124" s="42" t="str">
        <f>+IF($D$5=0,"",'4. '!C64)</f>
        <v/>
      </c>
      <c r="E124" s="42" t="str">
        <f>+IF($E$5=0,"",'4. '!D64)</f>
        <v/>
      </c>
      <c r="F124" s="42" t="str">
        <f>+IF($F$5=0,"",'4. '!E64)</f>
        <v/>
      </c>
      <c r="G124" s="42" t="str">
        <f>+IF($G$5=0,"",'4. '!F64)</f>
        <v/>
      </c>
      <c r="H124" s="42" t="str">
        <f>+IF($H$5=0,"",'4. '!G64)</f>
        <v/>
      </c>
      <c r="I124" s="42" t="str">
        <f>+IF($I$5=0,"",'4. '!H64)</f>
        <v/>
      </c>
      <c r="J124" s="42" t="str">
        <f>+IF($J$5=0,"",'4. '!I64)</f>
        <v/>
      </c>
      <c r="K124" s="42" t="str">
        <f>+IF($K$5=0,"",'4. '!J64)</f>
        <v/>
      </c>
      <c r="L124" s="42" t="str">
        <f>+IF($L$5=0,"",'4. '!K64)</f>
        <v/>
      </c>
      <c r="M124" s="42" t="str">
        <f>+IF($M$5=0,"",'4. '!L64)</f>
        <v/>
      </c>
      <c r="N124" s="42" t="str">
        <f>+IF($N$5=0,"",'4. '!M64)</f>
        <v/>
      </c>
      <c r="O124" s="42" t="str">
        <f>+IF($O$5=0,"",'4. '!N64)</f>
        <v/>
      </c>
      <c r="P124" s="42" t="str">
        <f>+IF($P$5=0,"",'4. '!O64)</f>
        <v/>
      </c>
      <c r="Q124" s="42" t="str">
        <f>+IF($Q$5=0,"",'4. '!P64)</f>
        <v/>
      </c>
      <c r="R124" s="42" t="str">
        <f>+IF($R$5=0,"",'4. '!Q64)</f>
        <v/>
      </c>
      <c r="S124" s="42" t="str">
        <f>+IF($S$5=0,"",'4. '!R64)</f>
        <v/>
      </c>
      <c r="T124" s="42" t="str">
        <f>+IF($T$5=0,"",'4. '!S64)</f>
        <v/>
      </c>
      <c r="U124" s="42" t="str">
        <f>+IF($U$5=0,"",'4. '!T64)</f>
        <v/>
      </c>
      <c r="V124" s="42" t="str">
        <f>+IF($V$5=0,"",'4. '!U64)</f>
        <v/>
      </c>
      <c r="W124" s="42" t="str">
        <f>+IF($W$5=0,"",'4. '!V64)</f>
        <v/>
      </c>
      <c r="X124" s="42" t="str">
        <f>+IF($X$5=0,"",'4. '!W64)</f>
        <v/>
      </c>
      <c r="Y124" s="42" t="str">
        <f>+IF($Y$5=0,"",'4. '!X64)</f>
        <v/>
      </c>
      <c r="Z124" s="42" t="str">
        <f>+IF($Z$5=0,"",'4. '!Y64)</f>
        <v/>
      </c>
      <c r="AA124" s="42" t="str">
        <f>+IF($AA$5=0,"",'4. '!Z64)</f>
        <v/>
      </c>
      <c r="AB124" s="42" t="str">
        <f>+IF($AB$5=0,"",'4. '!AA64)</f>
        <v/>
      </c>
      <c r="AC124" s="42" t="str">
        <f>+IF($AC$5=0,"",'4. '!AB64)</f>
        <v/>
      </c>
      <c r="AD124" s="42" t="str">
        <f>+IF($AD$5=0,"",'4. '!AC64)</f>
        <v/>
      </c>
      <c r="AE124" s="42" t="str">
        <f>+IF($AE$5=0,"",'4. '!AD64)</f>
        <v/>
      </c>
      <c r="AF124" s="42" t="str">
        <f>+IF($AF$5=0,"",'4. '!AE64)</f>
        <v/>
      </c>
      <c r="AG124" s="50" t="e">
        <f t="shared" si="2"/>
        <v>#DIV/0!</v>
      </c>
      <c r="AH124" s="6"/>
      <c r="AI124"/>
      <c r="AJ124"/>
    </row>
    <row r="125" spans="1:36" s="1" customFormat="1" ht="15.75" thickBot="1" x14ac:dyDescent="0.3">
      <c r="A125"/>
      <c r="B125" s="10" t="s">
        <v>181</v>
      </c>
      <c r="C125" s="42" t="str">
        <f>+IF($C$5=0,"",'4. '!B123)</f>
        <v/>
      </c>
      <c r="D125" s="42" t="str">
        <f>+IF($D$5=0,"",'4. '!C123)</f>
        <v/>
      </c>
      <c r="E125" s="42" t="str">
        <f>+IF($E$5=0,"",'4. '!D123)</f>
        <v/>
      </c>
      <c r="F125" s="42" t="str">
        <f>+IF($F$5=0,"",'4. '!E123)</f>
        <v/>
      </c>
      <c r="G125" s="42" t="str">
        <f>+IF($G$5=0,"",'4. '!F123)</f>
        <v/>
      </c>
      <c r="H125" s="42" t="str">
        <f>+IF($H$5=0,"",'4. '!G123)</f>
        <v/>
      </c>
      <c r="I125" s="42" t="str">
        <f>+IF($I$5=0,"",'4. '!H123)</f>
        <v/>
      </c>
      <c r="J125" s="42" t="str">
        <f>+IF($J$5=0,"",'4. '!I123)</f>
        <v/>
      </c>
      <c r="K125" s="42" t="str">
        <f>+IF($K$5=0,"",'4. '!J123)</f>
        <v/>
      </c>
      <c r="L125" s="42" t="str">
        <f>+IF($L$5=0,"",'4. '!K123)</f>
        <v/>
      </c>
      <c r="M125" s="42" t="str">
        <f>+IF($M$5=0,"",'4. '!L123)</f>
        <v/>
      </c>
      <c r="N125" s="42" t="str">
        <f>+IF($N$5=0,"",'4. '!M123)</f>
        <v/>
      </c>
      <c r="O125" s="42" t="str">
        <f>+IF($O$5=0,"",'4. '!N123)</f>
        <v/>
      </c>
      <c r="P125" s="42" t="str">
        <f>+IF($P$5=0,"",'4. '!O123)</f>
        <v/>
      </c>
      <c r="Q125" s="42" t="str">
        <f>+IF($Q$5=0,"",'4. '!P123)</f>
        <v/>
      </c>
      <c r="R125" s="42" t="str">
        <f>+IF($R$5=0,"",'4. '!Q123)</f>
        <v/>
      </c>
      <c r="S125" s="42" t="str">
        <f>+IF($S$5=0,"",'4. '!R123)</f>
        <v/>
      </c>
      <c r="T125" s="42" t="str">
        <f>+IF($T$5=0,"",'4. '!S123)</f>
        <v/>
      </c>
      <c r="U125" s="42" t="str">
        <f>+IF($U$5=0,"",'4. '!T123)</f>
        <v/>
      </c>
      <c r="V125" s="42" t="str">
        <f>+IF($V$5=0,"",'4. '!U123)</f>
        <v/>
      </c>
      <c r="W125" s="42" t="str">
        <f>+IF($W$5=0,"",'4. '!V123)</f>
        <v/>
      </c>
      <c r="X125" s="42" t="str">
        <f>+IF($X$5=0,"",'4. '!W123)</f>
        <v/>
      </c>
      <c r="Y125" s="42" t="str">
        <f>+IF($Y$5=0,"",'4. '!X123)</f>
        <v/>
      </c>
      <c r="Z125" s="42" t="str">
        <f>+IF($Z$5=0,"",'4. '!Y123)</f>
        <v/>
      </c>
      <c r="AA125" s="42" t="str">
        <f>+IF($AA$5=0,"",'4. '!Z123)</f>
        <v/>
      </c>
      <c r="AB125" s="42" t="str">
        <f>+IF($AB$5=0,"",'4. '!AA123)</f>
        <v/>
      </c>
      <c r="AC125" s="42" t="str">
        <f>+IF($AC$5=0,"",'4. '!AB123)</f>
        <v/>
      </c>
      <c r="AD125" s="42" t="str">
        <f>+IF($AD$5=0,"",'4. '!AC123)</f>
        <v/>
      </c>
      <c r="AE125" s="42" t="str">
        <f>+IF($AE$5=0,"",'4. '!AD123)</f>
        <v/>
      </c>
      <c r="AF125" s="42" t="str">
        <f>+IF($AF$5=0,"",'4. '!AE123)</f>
        <v/>
      </c>
      <c r="AG125" s="50" t="e">
        <f t="shared" si="2"/>
        <v>#DIV/0!</v>
      </c>
      <c r="AH125" s="6"/>
      <c r="AI125"/>
      <c r="AJ125"/>
    </row>
    <row r="126" spans="1:36" s="1" customFormat="1" ht="15.75" thickBot="1" x14ac:dyDescent="0.3">
      <c r="A126"/>
      <c r="B126" s="11" t="s">
        <v>88</v>
      </c>
      <c r="C126" s="42" t="str">
        <f>+IF($C$5=0,"",'4. '!B42)</f>
        <v/>
      </c>
      <c r="D126" s="42" t="str">
        <f>+IF($D$5=0,"",'4. '!C42)</f>
        <v/>
      </c>
      <c r="E126" s="42" t="str">
        <f>+IF($E$5=0,"",'4. '!D42)</f>
        <v/>
      </c>
      <c r="F126" s="42" t="str">
        <f>+IF($F$5=0,"",'4. '!E42)</f>
        <v/>
      </c>
      <c r="G126" s="42" t="str">
        <f>+IF($G$5=0,"",'4. '!F42)</f>
        <v/>
      </c>
      <c r="H126" s="42" t="str">
        <f>+IF($H$5=0,"",'4. '!G42)</f>
        <v/>
      </c>
      <c r="I126" s="42" t="str">
        <f>+IF($I$5=0,"",'4. '!H42)</f>
        <v/>
      </c>
      <c r="J126" s="42" t="str">
        <f>+IF($J$5=0,"",'4. '!I42)</f>
        <v/>
      </c>
      <c r="K126" s="42" t="str">
        <f>+IF($K$5=0,"",'4. '!J42)</f>
        <v/>
      </c>
      <c r="L126" s="42" t="str">
        <f>+IF($L$5=0,"",'4. '!K42)</f>
        <v/>
      </c>
      <c r="M126" s="42" t="str">
        <f>+IF($M$5=0,"",'4. '!L42)</f>
        <v/>
      </c>
      <c r="N126" s="42" t="str">
        <f>+IF($N$5=0,"",'4. '!M42)</f>
        <v/>
      </c>
      <c r="O126" s="42" t="str">
        <f>+IF($O$5=0,"",'4. '!N42)</f>
        <v/>
      </c>
      <c r="P126" s="42" t="str">
        <f>+IF($P$5=0,"",'4. '!O42)</f>
        <v/>
      </c>
      <c r="Q126" s="42" t="str">
        <f>+IF($Q$5=0,"",'4. '!P42)</f>
        <v/>
      </c>
      <c r="R126" s="42" t="str">
        <f>+IF($R$5=0,"",'4. '!Q42)</f>
        <v/>
      </c>
      <c r="S126" s="42" t="str">
        <f>+IF($S$5=0,"",'4. '!R42)</f>
        <v/>
      </c>
      <c r="T126" s="42" t="str">
        <f>+IF($T$5=0,"",'4. '!S42)</f>
        <v/>
      </c>
      <c r="U126" s="42" t="str">
        <f>+IF($U$5=0,"",'4. '!T42)</f>
        <v/>
      </c>
      <c r="V126" s="42" t="str">
        <f>+IF($V$5=0,"",'4. '!U42)</f>
        <v/>
      </c>
      <c r="W126" s="42" t="str">
        <f>+IF($W$5=0,"",'4. '!V42)</f>
        <v/>
      </c>
      <c r="X126" s="42" t="str">
        <f>+IF($X$5=0,"",'4. '!W42)</f>
        <v/>
      </c>
      <c r="Y126" s="42" t="str">
        <f>+IF($Y$5=0,"",'4. '!X42)</f>
        <v/>
      </c>
      <c r="Z126" s="42" t="str">
        <f>+IF($Z$5=0,"",'4. '!Y42)</f>
        <v/>
      </c>
      <c r="AA126" s="42" t="str">
        <f>+IF($AA$5=0,"",'4. '!Z42)</f>
        <v/>
      </c>
      <c r="AB126" s="42" t="str">
        <f>+IF($AB$5=0,"",'4. '!AA42)</f>
        <v/>
      </c>
      <c r="AC126" s="42" t="str">
        <f>+IF($AC$5=0,"",'4. '!AB42)</f>
        <v/>
      </c>
      <c r="AD126" s="42" t="str">
        <f>+IF($AD$5=0,"",'4. '!AC42)</f>
        <v/>
      </c>
      <c r="AE126" s="42" t="str">
        <f>+IF($AE$5=0,"",'4. '!AD42)</f>
        <v/>
      </c>
      <c r="AF126" s="42" t="str">
        <f>+IF($AF$5=0,"",'4. '!AE42)</f>
        <v/>
      </c>
      <c r="AG126" s="50" t="e">
        <f t="shared" si="2"/>
        <v>#DIV/0!</v>
      </c>
      <c r="AH126" s="6"/>
      <c r="AI126"/>
      <c r="AJ126"/>
    </row>
    <row r="127" spans="1:36" s="1" customFormat="1" ht="15.75" thickBot="1" x14ac:dyDescent="0.3">
      <c r="A127"/>
      <c r="B127" s="10" t="s">
        <v>276</v>
      </c>
      <c r="C127" s="42" t="str">
        <f>+IF($C$5=0,"",'4. '!B218)</f>
        <v/>
      </c>
      <c r="D127" s="42" t="str">
        <f>+IF($D$5=0,"",'4. '!C218)</f>
        <v/>
      </c>
      <c r="E127" s="42" t="str">
        <f>+IF($E$5=0,"",'4. '!D218)</f>
        <v/>
      </c>
      <c r="F127" s="42" t="str">
        <f>+IF($F$5=0,"",'4. '!E218)</f>
        <v/>
      </c>
      <c r="G127" s="42" t="str">
        <f>+IF($G$5=0,"",'4. '!F218)</f>
        <v/>
      </c>
      <c r="H127" s="42" t="str">
        <f>+IF($H$5=0,"",'4. '!G218)</f>
        <v/>
      </c>
      <c r="I127" s="42" t="str">
        <f>+IF($I$5=0,"",'4. '!H218)</f>
        <v/>
      </c>
      <c r="J127" s="42" t="str">
        <f>+IF($J$5=0,"",'4. '!I218)</f>
        <v/>
      </c>
      <c r="K127" s="42" t="str">
        <f>+IF($K$5=0,"",'4. '!J218)</f>
        <v/>
      </c>
      <c r="L127" s="42" t="str">
        <f>+IF($L$5=0,"",'4. '!K218)</f>
        <v/>
      </c>
      <c r="M127" s="42" t="str">
        <f>+IF($M$5=0,"",'4. '!L218)</f>
        <v/>
      </c>
      <c r="N127" s="42" t="str">
        <f>+IF($N$5=0,"",'4. '!M218)</f>
        <v/>
      </c>
      <c r="O127" s="42" t="str">
        <f>+IF($O$5=0,"",'4. '!N218)</f>
        <v/>
      </c>
      <c r="P127" s="42" t="str">
        <f>+IF($P$5=0,"",'4. '!O218)</f>
        <v/>
      </c>
      <c r="Q127" s="42" t="str">
        <f>+IF($Q$5=0,"",'4. '!P218)</f>
        <v/>
      </c>
      <c r="R127" s="42" t="str">
        <f>+IF($R$5=0,"",'4. '!Q218)</f>
        <v/>
      </c>
      <c r="S127" s="42" t="str">
        <f>+IF($S$5=0,"",'4. '!R218)</f>
        <v/>
      </c>
      <c r="T127" s="42" t="str">
        <f>+IF($T$5=0,"",'4. '!S218)</f>
        <v/>
      </c>
      <c r="U127" s="42" t="str">
        <f>+IF($U$5=0,"",'4. '!T218)</f>
        <v/>
      </c>
      <c r="V127" s="42" t="str">
        <f>+IF($V$5=0,"",'4. '!U218)</f>
        <v/>
      </c>
      <c r="W127" s="42" t="str">
        <f>+IF($W$5=0,"",'4. '!V218)</f>
        <v/>
      </c>
      <c r="X127" s="42" t="str">
        <f>+IF($X$5=0,"",'4. '!W218)</f>
        <v/>
      </c>
      <c r="Y127" s="42" t="str">
        <f>+IF($Y$5=0,"",'4. '!X218)</f>
        <v/>
      </c>
      <c r="Z127" s="42" t="str">
        <f>+IF($Z$5=0,"",'4. '!Y218)</f>
        <v/>
      </c>
      <c r="AA127" s="42" t="str">
        <f>+IF($AA$5=0,"",'4. '!Z218)</f>
        <v/>
      </c>
      <c r="AB127" s="42" t="str">
        <f>+IF($AB$5=0,"",'4. '!AA218)</f>
        <v/>
      </c>
      <c r="AC127" s="42" t="str">
        <f>+IF($AC$5=0,"",'4. '!AB218)</f>
        <v/>
      </c>
      <c r="AD127" s="42" t="str">
        <f>+IF($AD$5=0,"",'4. '!AC218)</f>
        <v/>
      </c>
      <c r="AE127" s="42" t="str">
        <f>+IF($AE$5=0,"",'4. '!AD218)</f>
        <v/>
      </c>
      <c r="AF127" s="42" t="str">
        <f>+IF($AF$5=0,"",'4. '!AE218)</f>
        <v/>
      </c>
      <c r="AG127" s="50" t="e">
        <f t="shared" si="2"/>
        <v>#DIV/0!</v>
      </c>
      <c r="AH127" s="6"/>
      <c r="AI127"/>
      <c r="AJ127"/>
    </row>
    <row r="128" spans="1:36" s="1" customFormat="1" ht="15.75" thickBot="1" x14ac:dyDescent="0.3">
      <c r="A128"/>
      <c r="B128" s="11" t="s">
        <v>273</v>
      </c>
      <c r="C128" s="42" t="str">
        <f>+IF($C$5=0,"",'4. '!B215)</f>
        <v/>
      </c>
      <c r="D128" s="42" t="str">
        <f>+IF($D$5=0,"",'4. '!C215)</f>
        <v/>
      </c>
      <c r="E128" s="42" t="str">
        <f>+IF($E$5=0,"",'4. '!D215)</f>
        <v/>
      </c>
      <c r="F128" s="42" t="str">
        <f>+IF($F$5=0,"",'4. '!E215)</f>
        <v/>
      </c>
      <c r="G128" s="42" t="str">
        <f>+IF($G$5=0,"",'4. '!F215)</f>
        <v/>
      </c>
      <c r="H128" s="42" t="str">
        <f>+IF($H$5=0,"",'4. '!G215)</f>
        <v/>
      </c>
      <c r="I128" s="42" t="str">
        <f>+IF($I$5=0,"",'4. '!H215)</f>
        <v/>
      </c>
      <c r="J128" s="42" t="str">
        <f>+IF($J$5=0,"",'4. '!I215)</f>
        <v/>
      </c>
      <c r="K128" s="42" t="str">
        <f>+IF($K$5=0,"",'4. '!J215)</f>
        <v/>
      </c>
      <c r="L128" s="42" t="str">
        <f>+IF($L$5=0,"",'4. '!K215)</f>
        <v/>
      </c>
      <c r="M128" s="42" t="str">
        <f>+IF($M$5=0,"",'4. '!L215)</f>
        <v/>
      </c>
      <c r="N128" s="42" t="str">
        <f>+IF($N$5=0,"",'4. '!M215)</f>
        <v/>
      </c>
      <c r="O128" s="42" t="str">
        <f>+IF($O$5=0,"",'4. '!N215)</f>
        <v/>
      </c>
      <c r="P128" s="42" t="str">
        <f>+IF($P$5=0,"",'4. '!O215)</f>
        <v/>
      </c>
      <c r="Q128" s="42" t="str">
        <f>+IF($Q$5=0,"",'4. '!P215)</f>
        <v/>
      </c>
      <c r="R128" s="42" t="str">
        <f>+IF($R$5=0,"",'4. '!Q215)</f>
        <v/>
      </c>
      <c r="S128" s="42" t="str">
        <f>+IF($S$5=0,"",'4. '!R215)</f>
        <v/>
      </c>
      <c r="T128" s="42" t="str">
        <f>+IF($T$5=0,"",'4. '!S215)</f>
        <v/>
      </c>
      <c r="U128" s="42" t="str">
        <f>+IF($U$5=0,"",'4. '!T215)</f>
        <v/>
      </c>
      <c r="V128" s="42" t="str">
        <f>+IF($V$5=0,"",'4. '!U215)</f>
        <v/>
      </c>
      <c r="W128" s="42" t="str">
        <f>+IF($W$5=0,"",'4. '!V215)</f>
        <v/>
      </c>
      <c r="X128" s="42" t="str">
        <f>+IF($X$5=0,"",'4. '!W215)</f>
        <v/>
      </c>
      <c r="Y128" s="42" t="str">
        <f>+IF($Y$5=0,"",'4. '!X215)</f>
        <v/>
      </c>
      <c r="Z128" s="42" t="str">
        <f>+IF($Z$5=0,"",'4. '!Y215)</f>
        <v/>
      </c>
      <c r="AA128" s="42" t="str">
        <f>+IF($AA$5=0,"",'4. '!Z215)</f>
        <v/>
      </c>
      <c r="AB128" s="42" t="str">
        <f>+IF($AB$5=0,"",'4. '!AA215)</f>
        <v/>
      </c>
      <c r="AC128" s="42" t="str">
        <f>+IF($AC$5=0,"",'4. '!AB215)</f>
        <v/>
      </c>
      <c r="AD128" s="42" t="str">
        <f>+IF($AD$5=0,"",'4. '!AC215)</f>
        <v/>
      </c>
      <c r="AE128" s="42" t="str">
        <f>+IF($AE$5=0,"",'4. '!AD215)</f>
        <v/>
      </c>
      <c r="AF128" s="42" t="str">
        <f>+IF($AF$5=0,"",'4. '!AE215)</f>
        <v/>
      </c>
      <c r="AG128" s="50" t="e">
        <f t="shared" si="2"/>
        <v>#DIV/0!</v>
      </c>
      <c r="AH128" s="6"/>
      <c r="AI128"/>
      <c r="AJ128"/>
    </row>
    <row r="129" spans="1:36" s="1" customFormat="1" ht="15.75" thickBot="1" x14ac:dyDescent="0.3">
      <c r="A129"/>
      <c r="B129" s="10" t="s">
        <v>278</v>
      </c>
      <c r="C129" s="42" t="str">
        <f>+IF($C$5=0,"",'4. '!B220)</f>
        <v/>
      </c>
      <c r="D129" s="42" t="str">
        <f>+IF($D$5=0,"",'4. '!C220)</f>
        <v/>
      </c>
      <c r="E129" s="42" t="str">
        <f>+IF($E$5=0,"",'4. '!D220)</f>
        <v/>
      </c>
      <c r="F129" s="42" t="str">
        <f>+IF($F$5=0,"",'4. '!E220)</f>
        <v/>
      </c>
      <c r="G129" s="42" t="str">
        <f>+IF($G$5=0,"",'4. '!F220)</f>
        <v/>
      </c>
      <c r="H129" s="42" t="str">
        <f>+IF($H$5=0,"",'4. '!G220)</f>
        <v/>
      </c>
      <c r="I129" s="42" t="str">
        <f>+IF($I$5=0,"",'4. '!H220)</f>
        <v/>
      </c>
      <c r="J129" s="42" t="str">
        <f>+IF($J$5=0,"",'4. '!I220)</f>
        <v/>
      </c>
      <c r="K129" s="42" t="str">
        <f>+IF($K$5=0,"",'4. '!J220)</f>
        <v/>
      </c>
      <c r="L129" s="42" t="str">
        <f>+IF($L$5=0,"",'4. '!K220)</f>
        <v/>
      </c>
      <c r="M129" s="42" t="str">
        <f>+IF($M$5=0,"",'4. '!L220)</f>
        <v/>
      </c>
      <c r="N129" s="42" t="str">
        <f>+IF($N$5=0,"",'4. '!M220)</f>
        <v/>
      </c>
      <c r="O129" s="42" t="str">
        <f>+IF($O$5=0,"",'4. '!N220)</f>
        <v/>
      </c>
      <c r="P129" s="42" t="str">
        <f>+IF($P$5=0,"",'4. '!O220)</f>
        <v/>
      </c>
      <c r="Q129" s="42" t="str">
        <f>+IF($Q$5=0,"",'4. '!P220)</f>
        <v/>
      </c>
      <c r="R129" s="42" t="str">
        <f>+IF($R$5=0,"",'4. '!Q220)</f>
        <v/>
      </c>
      <c r="S129" s="42" t="str">
        <f>+IF($S$5=0,"",'4. '!R220)</f>
        <v/>
      </c>
      <c r="T129" s="42" t="str">
        <f>+IF($T$5=0,"",'4. '!S220)</f>
        <v/>
      </c>
      <c r="U129" s="42" t="str">
        <f>+IF($U$5=0,"",'4. '!T220)</f>
        <v/>
      </c>
      <c r="V129" s="42" t="str">
        <f>+IF($V$5=0,"",'4. '!U220)</f>
        <v/>
      </c>
      <c r="W129" s="42" t="str">
        <f>+IF($W$5=0,"",'4. '!V220)</f>
        <v/>
      </c>
      <c r="X129" s="42" t="str">
        <f>+IF($X$5=0,"",'4. '!W220)</f>
        <v/>
      </c>
      <c r="Y129" s="42" t="str">
        <f>+IF($Y$5=0,"",'4. '!X220)</f>
        <v/>
      </c>
      <c r="Z129" s="42" t="str">
        <f>+IF($Z$5=0,"",'4. '!Y220)</f>
        <v/>
      </c>
      <c r="AA129" s="42" t="str">
        <f>+IF($AA$5=0,"",'4. '!Z220)</f>
        <v/>
      </c>
      <c r="AB129" s="42" t="str">
        <f>+IF($AB$5=0,"",'4. '!AA220)</f>
        <v/>
      </c>
      <c r="AC129" s="42" t="str">
        <f>+IF($AC$5=0,"",'4. '!AB220)</f>
        <v/>
      </c>
      <c r="AD129" s="42" t="str">
        <f>+IF($AD$5=0,"",'4. '!AC220)</f>
        <v/>
      </c>
      <c r="AE129" s="42" t="str">
        <f>+IF($AE$5=0,"",'4. '!AD220)</f>
        <v/>
      </c>
      <c r="AF129" s="42" t="str">
        <f>+IF($AF$5=0,"",'4. '!AE220)</f>
        <v/>
      </c>
      <c r="AG129" s="50" t="e">
        <f t="shared" si="2"/>
        <v>#DIV/0!</v>
      </c>
      <c r="AH129" s="6"/>
      <c r="AI129"/>
      <c r="AJ129"/>
    </row>
    <row r="130" spans="1:36" s="1" customFormat="1" ht="15.75" thickBot="1" x14ac:dyDescent="0.3">
      <c r="A130"/>
      <c r="B130" s="11" t="s">
        <v>275</v>
      </c>
      <c r="C130" s="42" t="str">
        <f>+IF($C$5=0,"",'4. '!B217)</f>
        <v/>
      </c>
      <c r="D130" s="42" t="str">
        <f>+IF($D$5=0,"",'4. '!C217)</f>
        <v/>
      </c>
      <c r="E130" s="42" t="str">
        <f>+IF($E$5=0,"",'4. '!D217)</f>
        <v/>
      </c>
      <c r="F130" s="42" t="str">
        <f>+IF($F$5=0,"",'4. '!E217)</f>
        <v/>
      </c>
      <c r="G130" s="42" t="str">
        <f>+IF($G$5=0,"",'4. '!F217)</f>
        <v/>
      </c>
      <c r="H130" s="42" t="str">
        <f>+IF($H$5=0,"",'4. '!G217)</f>
        <v/>
      </c>
      <c r="I130" s="42" t="str">
        <f>+IF($I$5=0,"",'4. '!H217)</f>
        <v/>
      </c>
      <c r="J130" s="42" t="str">
        <f>+IF($J$5=0,"",'4. '!I217)</f>
        <v/>
      </c>
      <c r="K130" s="42" t="str">
        <f>+IF($K$5=0,"",'4. '!J217)</f>
        <v/>
      </c>
      <c r="L130" s="42" t="str">
        <f>+IF($L$5=0,"",'4. '!K217)</f>
        <v/>
      </c>
      <c r="M130" s="42" t="str">
        <f>+IF($M$5=0,"",'4. '!L217)</f>
        <v/>
      </c>
      <c r="N130" s="42" t="str">
        <f>+IF($N$5=0,"",'4. '!M217)</f>
        <v/>
      </c>
      <c r="O130" s="42" t="str">
        <f>+IF($O$5=0,"",'4. '!N217)</f>
        <v/>
      </c>
      <c r="P130" s="42" t="str">
        <f>+IF($P$5=0,"",'4. '!O217)</f>
        <v/>
      </c>
      <c r="Q130" s="42" t="str">
        <f>+IF($Q$5=0,"",'4. '!P217)</f>
        <v/>
      </c>
      <c r="R130" s="42" t="str">
        <f>+IF($R$5=0,"",'4. '!Q217)</f>
        <v/>
      </c>
      <c r="S130" s="42" t="str">
        <f>+IF($S$5=0,"",'4. '!R217)</f>
        <v/>
      </c>
      <c r="T130" s="42" t="str">
        <f>+IF($T$5=0,"",'4. '!S217)</f>
        <v/>
      </c>
      <c r="U130" s="42" t="str">
        <f>+IF($U$5=0,"",'4. '!T217)</f>
        <v/>
      </c>
      <c r="V130" s="42" t="str">
        <f>+IF($V$5=0,"",'4. '!U217)</f>
        <v/>
      </c>
      <c r="W130" s="42" t="str">
        <f>+IF($W$5=0,"",'4. '!V217)</f>
        <v/>
      </c>
      <c r="X130" s="42" t="str">
        <f>+IF($X$5=0,"",'4. '!W217)</f>
        <v/>
      </c>
      <c r="Y130" s="42" t="str">
        <f>+IF($Y$5=0,"",'4. '!X217)</f>
        <v/>
      </c>
      <c r="Z130" s="42" t="str">
        <f>+IF($Z$5=0,"",'4. '!Y217)</f>
        <v/>
      </c>
      <c r="AA130" s="42" t="str">
        <f>+IF($AA$5=0,"",'4. '!Z217)</f>
        <v/>
      </c>
      <c r="AB130" s="42" t="str">
        <f>+IF($AB$5=0,"",'4. '!AA217)</f>
        <v/>
      </c>
      <c r="AC130" s="42" t="str">
        <f>+IF($AC$5=0,"",'4. '!AB217)</f>
        <v/>
      </c>
      <c r="AD130" s="42" t="str">
        <f>+IF($AD$5=0,"",'4. '!AC217)</f>
        <v/>
      </c>
      <c r="AE130" s="42" t="str">
        <f>+IF($AE$5=0,"",'4. '!AD217)</f>
        <v/>
      </c>
      <c r="AF130" s="42" t="str">
        <f>+IF($AF$5=0,"",'4. '!AE217)</f>
        <v/>
      </c>
      <c r="AG130" s="50" t="e">
        <f t="shared" si="2"/>
        <v>#DIV/0!</v>
      </c>
      <c r="AH130" s="6"/>
      <c r="AI130"/>
      <c r="AJ130"/>
    </row>
    <row r="131" spans="1:36" s="1" customFormat="1" ht="15.75" thickBot="1" x14ac:dyDescent="0.3">
      <c r="A131"/>
      <c r="B131" s="10" t="s">
        <v>172</v>
      </c>
      <c r="C131" s="42" t="str">
        <f>+IF($C$5=0,"",'4. '!B114)</f>
        <v/>
      </c>
      <c r="D131" s="42" t="str">
        <f>+IF($D$5=0,"",'4. '!C114)</f>
        <v/>
      </c>
      <c r="E131" s="42" t="str">
        <f>+IF($E$5=0,"",'4. '!D114)</f>
        <v/>
      </c>
      <c r="F131" s="42" t="str">
        <f>+IF($F$5=0,"",'4. '!E114)</f>
        <v/>
      </c>
      <c r="G131" s="42" t="str">
        <f>+IF($G$5=0,"",'4. '!F114)</f>
        <v/>
      </c>
      <c r="H131" s="42" t="str">
        <f>+IF($H$5=0,"",'4. '!G114)</f>
        <v/>
      </c>
      <c r="I131" s="42" t="str">
        <f>+IF($I$5=0,"",'4. '!H114)</f>
        <v/>
      </c>
      <c r="J131" s="42" t="str">
        <f>+IF($J$5=0,"",'4. '!I114)</f>
        <v/>
      </c>
      <c r="K131" s="42" t="str">
        <f>+IF($K$5=0,"",'4. '!J114)</f>
        <v/>
      </c>
      <c r="L131" s="42" t="str">
        <f>+IF($L$5=0,"",'4. '!K114)</f>
        <v/>
      </c>
      <c r="M131" s="42" t="str">
        <f>+IF($M$5=0,"",'4. '!L114)</f>
        <v/>
      </c>
      <c r="N131" s="42" t="str">
        <f>+IF($N$5=0,"",'4. '!M114)</f>
        <v/>
      </c>
      <c r="O131" s="42" t="str">
        <f>+IF($O$5=0,"",'4. '!N114)</f>
        <v/>
      </c>
      <c r="P131" s="42" t="str">
        <f>+IF($P$5=0,"",'4. '!O114)</f>
        <v/>
      </c>
      <c r="Q131" s="42" t="str">
        <f>+IF($Q$5=0,"",'4. '!P114)</f>
        <v/>
      </c>
      <c r="R131" s="42" t="str">
        <f>+IF($R$5=0,"",'4. '!Q114)</f>
        <v/>
      </c>
      <c r="S131" s="42" t="str">
        <f>+IF($S$5=0,"",'4. '!R114)</f>
        <v/>
      </c>
      <c r="T131" s="42" t="str">
        <f>+IF($T$5=0,"",'4. '!S114)</f>
        <v/>
      </c>
      <c r="U131" s="42" t="str">
        <f>+IF($U$5=0,"",'4. '!T114)</f>
        <v/>
      </c>
      <c r="V131" s="42" t="str">
        <f>+IF($V$5=0,"",'4. '!U114)</f>
        <v/>
      </c>
      <c r="W131" s="42" t="str">
        <f>+IF($W$5=0,"",'4. '!V114)</f>
        <v/>
      </c>
      <c r="X131" s="42" t="str">
        <f>+IF($X$5=0,"",'4. '!W114)</f>
        <v/>
      </c>
      <c r="Y131" s="42" t="str">
        <f>+IF($Y$5=0,"",'4. '!X114)</f>
        <v/>
      </c>
      <c r="Z131" s="42" t="str">
        <f>+IF($Z$5=0,"",'4. '!Y114)</f>
        <v/>
      </c>
      <c r="AA131" s="42" t="str">
        <f>+IF($AA$5=0,"",'4. '!Z114)</f>
        <v/>
      </c>
      <c r="AB131" s="42" t="str">
        <f>+IF($AB$5=0,"",'4. '!AA114)</f>
        <v/>
      </c>
      <c r="AC131" s="42" t="str">
        <f>+IF($AC$5=0,"",'4. '!AB114)</f>
        <v/>
      </c>
      <c r="AD131" s="42" t="str">
        <f>+IF($AD$5=0,"",'4. '!AC114)</f>
        <v/>
      </c>
      <c r="AE131" s="42" t="str">
        <f>+IF($AE$5=0,"",'4. '!AD114)</f>
        <v/>
      </c>
      <c r="AF131" s="42" t="str">
        <f>+IF($AF$5=0,"",'4. '!AE114)</f>
        <v/>
      </c>
      <c r="AG131" s="50" t="e">
        <f t="shared" si="2"/>
        <v>#DIV/0!</v>
      </c>
      <c r="AH131" s="6"/>
      <c r="AI131"/>
      <c r="AJ131"/>
    </row>
    <row r="132" spans="1:36" s="1" customFormat="1" ht="15.75" thickBot="1" x14ac:dyDescent="0.3">
      <c r="A132"/>
      <c r="B132" s="11" t="s">
        <v>79</v>
      </c>
      <c r="C132" s="42" t="str">
        <f>+IF($C$5=0,"",'4. '!B33)</f>
        <v/>
      </c>
      <c r="D132" s="42" t="str">
        <f>+IF($D$5=0,"",'4. '!C33)</f>
        <v/>
      </c>
      <c r="E132" s="42" t="str">
        <f>+IF($E$5=0,"",'4. '!D33)</f>
        <v/>
      </c>
      <c r="F132" s="42" t="str">
        <f>+IF($F$5=0,"",'4. '!E33)</f>
        <v/>
      </c>
      <c r="G132" s="42" t="str">
        <f>+IF($G$5=0,"",'4. '!F33)</f>
        <v/>
      </c>
      <c r="H132" s="42" t="str">
        <f>+IF($H$5=0,"",'4. '!G33)</f>
        <v/>
      </c>
      <c r="I132" s="42" t="str">
        <f>+IF($I$5=0,"",'4. '!H33)</f>
        <v/>
      </c>
      <c r="J132" s="42" t="str">
        <f>+IF($J$5=0,"",'4. '!I33)</f>
        <v/>
      </c>
      <c r="K132" s="42" t="str">
        <f>+IF($K$5=0,"",'4. '!J33)</f>
        <v/>
      </c>
      <c r="L132" s="42" t="str">
        <f>+IF($L$5=0,"",'4. '!K33)</f>
        <v/>
      </c>
      <c r="M132" s="42" t="str">
        <f>+IF($M$5=0,"",'4. '!L33)</f>
        <v/>
      </c>
      <c r="N132" s="42" t="str">
        <f>+IF($N$5=0,"",'4. '!M33)</f>
        <v/>
      </c>
      <c r="O132" s="42" t="str">
        <f>+IF($O$5=0,"",'4. '!N33)</f>
        <v/>
      </c>
      <c r="P132" s="42" t="str">
        <f>+IF($P$5=0,"",'4. '!O33)</f>
        <v/>
      </c>
      <c r="Q132" s="42" t="str">
        <f>+IF($Q$5=0,"",'4. '!P33)</f>
        <v/>
      </c>
      <c r="R132" s="42" t="str">
        <f>+IF($R$5=0,"",'4. '!Q33)</f>
        <v/>
      </c>
      <c r="S132" s="42" t="str">
        <f>+IF($S$5=0,"",'4. '!R33)</f>
        <v/>
      </c>
      <c r="T132" s="42" t="str">
        <f>+IF($T$5=0,"",'4. '!S33)</f>
        <v/>
      </c>
      <c r="U132" s="42" t="str">
        <f>+IF($U$5=0,"",'4. '!T33)</f>
        <v/>
      </c>
      <c r="V132" s="42" t="str">
        <f>+IF($V$5=0,"",'4. '!U33)</f>
        <v/>
      </c>
      <c r="W132" s="42" t="str">
        <f>+IF($W$5=0,"",'4. '!V33)</f>
        <v/>
      </c>
      <c r="X132" s="42" t="str">
        <f>+IF($X$5=0,"",'4. '!W33)</f>
        <v/>
      </c>
      <c r="Y132" s="42" t="str">
        <f>+IF($Y$5=0,"",'4. '!X33)</f>
        <v/>
      </c>
      <c r="Z132" s="42" t="str">
        <f>+IF($Z$5=0,"",'4. '!Y33)</f>
        <v/>
      </c>
      <c r="AA132" s="42" t="str">
        <f>+IF($AA$5=0,"",'4. '!Z33)</f>
        <v/>
      </c>
      <c r="AB132" s="42" t="str">
        <f>+IF($AB$5=0,"",'4. '!AA33)</f>
        <v/>
      </c>
      <c r="AC132" s="42" t="str">
        <f>+IF($AC$5=0,"",'4. '!AB33)</f>
        <v/>
      </c>
      <c r="AD132" s="42" t="str">
        <f>+IF($AD$5=0,"",'4. '!AC33)</f>
        <v/>
      </c>
      <c r="AE132" s="42" t="str">
        <f>+IF($AE$5=0,"",'4. '!AD33)</f>
        <v/>
      </c>
      <c r="AF132" s="42" t="str">
        <f>+IF($AF$5=0,"",'4. '!AE33)</f>
        <v/>
      </c>
      <c r="AG132" s="50" t="e">
        <f t="shared" si="2"/>
        <v>#DIV/0!</v>
      </c>
      <c r="AH132" s="6"/>
      <c r="AI132"/>
      <c r="AJ132"/>
    </row>
    <row r="133" spans="1:36" s="1" customFormat="1" ht="15.75" thickBot="1" x14ac:dyDescent="0.3">
      <c r="A133"/>
      <c r="B133" s="10" t="s">
        <v>154</v>
      </c>
      <c r="C133" s="42" t="str">
        <f>+IF($C$5=0,"",'4. '!B96)</f>
        <v/>
      </c>
      <c r="D133" s="42" t="str">
        <f>+IF($D$5=0,"",'4. '!C96)</f>
        <v/>
      </c>
      <c r="E133" s="42" t="str">
        <f>+IF($E$5=0,"",'4. '!D96)</f>
        <v/>
      </c>
      <c r="F133" s="42" t="str">
        <f>+IF($F$5=0,"",'4. '!E96)</f>
        <v/>
      </c>
      <c r="G133" s="42" t="str">
        <f>+IF($G$5=0,"",'4. '!F96)</f>
        <v/>
      </c>
      <c r="H133" s="42" t="str">
        <f>+IF($H$5=0,"",'4. '!G96)</f>
        <v/>
      </c>
      <c r="I133" s="42" t="str">
        <f>+IF($I$5=0,"",'4. '!H96)</f>
        <v/>
      </c>
      <c r="J133" s="42" t="str">
        <f>+IF($J$5=0,"",'4. '!I96)</f>
        <v/>
      </c>
      <c r="K133" s="42" t="str">
        <f>+IF($K$5=0,"",'4. '!J96)</f>
        <v/>
      </c>
      <c r="L133" s="42" t="str">
        <f>+IF($L$5=0,"",'4. '!K96)</f>
        <v/>
      </c>
      <c r="M133" s="42" t="str">
        <f>+IF($M$5=0,"",'4. '!L96)</f>
        <v/>
      </c>
      <c r="N133" s="42" t="str">
        <f>+IF($N$5=0,"",'4. '!M96)</f>
        <v/>
      </c>
      <c r="O133" s="42" t="str">
        <f>+IF($O$5=0,"",'4. '!N96)</f>
        <v/>
      </c>
      <c r="P133" s="42" t="str">
        <f>+IF($P$5=0,"",'4. '!O96)</f>
        <v/>
      </c>
      <c r="Q133" s="42" t="str">
        <f>+IF($Q$5=0,"",'4. '!P96)</f>
        <v/>
      </c>
      <c r="R133" s="42" t="str">
        <f>+IF($R$5=0,"",'4. '!Q96)</f>
        <v/>
      </c>
      <c r="S133" s="42" t="str">
        <f>+IF($S$5=0,"",'4. '!R96)</f>
        <v/>
      </c>
      <c r="T133" s="42" t="str">
        <f>+IF($T$5=0,"",'4. '!S96)</f>
        <v/>
      </c>
      <c r="U133" s="42" t="str">
        <f>+IF($U$5=0,"",'4. '!T96)</f>
        <v/>
      </c>
      <c r="V133" s="42" t="str">
        <f>+IF($V$5=0,"",'4. '!U96)</f>
        <v/>
      </c>
      <c r="W133" s="42" t="str">
        <f>+IF($W$5=0,"",'4. '!V96)</f>
        <v/>
      </c>
      <c r="X133" s="42" t="str">
        <f>+IF($X$5=0,"",'4. '!W96)</f>
        <v/>
      </c>
      <c r="Y133" s="42" t="str">
        <f>+IF($Y$5=0,"",'4. '!X96)</f>
        <v/>
      </c>
      <c r="Z133" s="42" t="str">
        <f>+IF($Z$5=0,"",'4. '!Y96)</f>
        <v/>
      </c>
      <c r="AA133" s="42" t="str">
        <f>+IF($AA$5=0,"",'4. '!Z96)</f>
        <v/>
      </c>
      <c r="AB133" s="42" t="str">
        <f>+IF($AB$5=0,"",'4. '!AA96)</f>
        <v/>
      </c>
      <c r="AC133" s="42" t="str">
        <f>+IF($AC$5=0,"",'4. '!AB96)</f>
        <v/>
      </c>
      <c r="AD133" s="42" t="str">
        <f>+IF($AD$5=0,"",'4. '!AC96)</f>
        <v/>
      </c>
      <c r="AE133" s="42" t="str">
        <f>+IF($AE$5=0,"",'4. '!AD96)</f>
        <v/>
      </c>
      <c r="AF133" s="42" t="str">
        <f>+IF($AF$5=0,"",'4. '!AE96)</f>
        <v/>
      </c>
      <c r="AG133" s="50" t="e">
        <f t="shared" si="2"/>
        <v>#DIV/0!</v>
      </c>
      <c r="AH133" s="6"/>
      <c r="AI133"/>
      <c r="AJ133"/>
    </row>
    <row r="134" spans="1:36" s="1" customFormat="1" ht="15.75" thickBot="1" x14ac:dyDescent="0.3">
      <c r="A134"/>
      <c r="B134" s="11" t="s">
        <v>60</v>
      </c>
      <c r="C134" s="42" t="str">
        <f>+IF($C$5=0,"",'4. '!B15)</f>
        <v/>
      </c>
      <c r="D134" s="42" t="str">
        <f>+IF($D$5=0,"",'4. '!C15)</f>
        <v/>
      </c>
      <c r="E134" s="42" t="str">
        <f>+IF($E$5=0,"",'4. '!D15)</f>
        <v/>
      </c>
      <c r="F134" s="42" t="str">
        <f>+IF($F$5=0,"",'4. '!E15)</f>
        <v/>
      </c>
      <c r="G134" s="42" t="str">
        <f>+IF($G$5=0,"",'4. '!F15)</f>
        <v/>
      </c>
      <c r="H134" s="42" t="str">
        <f>+IF($H$5=0,"",'4. '!G15)</f>
        <v/>
      </c>
      <c r="I134" s="42" t="str">
        <f>+IF($I$5=0,"",'4. '!H15)</f>
        <v/>
      </c>
      <c r="J134" s="42" t="str">
        <f>+IF($J$5=0,"",'4. '!I15)</f>
        <v/>
      </c>
      <c r="K134" s="42" t="str">
        <f>+IF($K$5=0,"",'4. '!J15)</f>
        <v/>
      </c>
      <c r="L134" s="42" t="str">
        <f>+IF($L$5=0,"",'4. '!K15)</f>
        <v/>
      </c>
      <c r="M134" s="42" t="str">
        <f>+IF($M$5=0,"",'4. '!L15)</f>
        <v/>
      </c>
      <c r="N134" s="42" t="str">
        <f>+IF($N$5=0,"",'4. '!M15)</f>
        <v/>
      </c>
      <c r="O134" s="42" t="str">
        <f>+IF($O$5=0,"",'4. '!N15)</f>
        <v/>
      </c>
      <c r="P134" s="42" t="str">
        <f>+IF($P$5=0,"",'4. '!O15)</f>
        <v/>
      </c>
      <c r="Q134" s="42" t="str">
        <f>+IF($Q$5=0,"",'4. '!P15)</f>
        <v/>
      </c>
      <c r="R134" s="42" t="str">
        <f>+IF($R$5=0,"",'4. '!Q15)</f>
        <v/>
      </c>
      <c r="S134" s="42" t="str">
        <f>+IF($S$5=0,"",'4. '!R15)</f>
        <v/>
      </c>
      <c r="T134" s="42" t="str">
        <f>+IF($T$5=0,"",'4. '!S15)</f>
        <v/>
      </c>
      <c r="U134" s="42" t="str">
        <f>+IF($U$5=0,"",'4. '!T15)</f>
        <v/>
      </c>
      <c r="V134" s="42" t="str">
        <f>+IF($V$5=0,"",'4. '!U15)</f>
        <v/>
      </c>
      <c r="W134" s="42" t="str">
        <f>+IF($W$5=0,"",'4. '!V15)</f>
        <v/>
      </c>
      <c r="X134" s="42" t="str">
        <f>+IF($X$5=0,"",'4. '!W15)</f>
        <v/>
      </c>
      <c r="Y134" s="42" t="str">
        <f>+IF($Y$5=0,"",'4. '!X15)</f>
        <v/>
      </c>
      <c r="Z134" s="42" t="str">
        <f>+IF($Z$5=0,"",'4. '!Y15)</f>
        <v/>
      </c>
      <c r="AA134" s="42" t="str">
        <f>+IF($AA$5=0,"",'4. '!Z15)</f>
        <v/>
      </c>
      <c r="AB134" s="42" t="str">
        <f>+IF($AB$5=0,"",'4. '!AA15)</f>
        <v/>
      </c>
      <c r="AC134" s="42" t="str">
        <f>+IF($AC$5=0,"",'4. '!AB15)</f>
        <v/>
      </c>
      <c r="AD134" s="42" t="str">
        <f>+IF($AD$5=0,"",'4. '!AC15)</f>
        <v/>
      </c>
      <c r="AE134" s="42" t="str">
        <f>+IF($AE$5=0,"",'4. '!AD15)</f>
        <v/>
      </c>
      <c r="AF134" s="42" t="str">
        <f>+IF($AF$5=0,"",'4. '!AE15)</f>
        <v/>
      </c>
      <c r="AG134" s="50" t="e">
        <f t="shared" ref="AG134:AG197" si="3">+AVERAGEIF(C134:AF134,"=X",$C$5:$AF$5)</f>
        <v>#DIV/0!</v>
      </c>
      <c r="AH134" s="6"/>
      <c r="AI134"/>
      <c r="AJ134"/>
    </row>
    <row r="135" spans="1:36" s="1" customFormat="1" ht="15.75" thickBot="1" x14ac:dyDescent="0.3">
      <c r="A135"/>
      <c r="B135" s="10" t="s">
        <v>249</v>
      </c>
      <c r="C135" s="42" t="str">
        <f>+IF($C$5=0,"",'4. '!B191)</f>
        <v/>
      </c>
      <c r="D135" s="42" t="str">
        <f>+IF($D$5=0,"",'4. '!C191)</f>
        <v/>
      </c>
      <c r="E135" s="42" t="str">
        <f>+IF($E$5=0,"",'4. '!D191)</f>
        <v/>
      </c>
      <c r="F135" s="42" t="str">
        <f>+IF($F$5=0,"",'4. '!E191)</f>
        <v/>
      </c>
      <c r="G135" s="42" t="str">
        <f>+IF($G$5=0,"",'4. '!F191)</f>
        <v/>
      </c>
      <c r="H135" s="42" t="str">
        <f>+IF($H$5=0,"",'4. '!G191)</f>
        <v/>
      </c>
      <c r="I135" s="42" t="str">
        <f>+IF($I$5=0,"",'4. '!H191)</f>
        <v/>
      </c>
      <c r="J135" s="42" t="str">
        <f>+IF($J$5=0,"",'4. '!I191)</f>
        <v/>
      </c>
      <c r="K135" s="42" t="str">
        <f>+IF($K$5=0,"",'4. '!J191)</f>
        <v/>
      </c>
      <c r="L135" s="42" t="str">
        <f>+IF($L$5=0,"",'4. '!K191)</f>
        <v/>
      </c>
      <c r="M135" s="42" t="str">
        <f>+IF($M$5=0,"",'4. '!L191)</f>
        <v/>
      </c>
      <c r="N135" s="42" t="str">
        <f>+IF($N$5=0,"",'4. '!M191)</f>
        <v/>
      </c>
      <c r="O135" s="42" t="str">
        <f>+IF($O$5=0,"",'4. '!N191)</f>
        <v/>
      </c>
      <c r="P135" s="42" t="str">
        <f>+IF($P$5=0,"",'4. '!O191)</f>
        <v/>
      </c>
      <c r="Q135" s="42" t="str">
        <f>+IF($Q$5=0,"",'4. '!P191)</f>
        <v/>
      </c>
      <c r="R135" s="42" t="str">
        <f>+IF($R$5=0,"",'4. '!Q191)</f>
        <v/>
      </c>
      <c r="S135" s="42" t="str">
        <f>+IF($S$5=0,"",'4. '!R191)</f>
        <v/>
      </c>
      <c r="T135" s="42" t="str">
        <f>+IF($T$5=0,"",'4. '!S191)</f>
        <v/>
      </c>
      <c r="U135" s="42" t="str">
        <f>+IF($U$5=0,"",'4. '!T191)</f>
        <v/>
      </c>
      <c r="V135" s="42" t="str">
        <f>+IF($V$5=0,"",'4. '!U191)</f>
        <v/>
      </c>
      <c r="W135" s="42" t="str">
        <f>+IF($W$5=0,"",'4. '!V191)</f>
        <v/>
      </c>
      <c r="X135" s="42" t="str">
        <f>+IF($X$5=0,"",'4. '!W191)</f>
        <v/>
      </c>
      <c r="Y135" s="42" t="str">
        <f>+IF($Y$5=0,"",'4. '!X191)</f>
        <v/>
      </c>
      <c r="Z135" s="42" t="str">
        <f>+IF($Z$5=0,"",'4. '!Y191)</f>
        <v/>
      </c>
      <c r="AA135" s="42" t="str">
        <f>+IF($AA$5=0,"",'4. '!Z191)</f>
        <v/>
      </c>
      <c r="AB135" s="42" t="str">
        <f>+IF($AB$5=0,"",'4. '!AA191)</f>
        <v/>
      </c>
      <c r="AC135" s="42" t="str">
        <f>+IF($AC$5=0,"",'4. '!AB191)</f>
        <v/>
      </c>
      <c r="AD135" s="42" t="str">
        <f>+IF($AD$5=0,"",'4. '!AC191)</f>
        <v/>
      </c>
      <c r="AE135" s="42" t="str">
        <f>+IF($AE$5=0,"",'4. '!AD191)</f>
        <v/>
      </c>
      <c r="AF135" s="42" t="str">
        <f>+IF($AF$5=0,"",'4. '!AE191)</f>
        <v/>
      </c>
      <c r="AG135" s="50" t="e">
        <f t="shared" si="3"/>
        <v>#DIV/0!</v>
      </c>
      <c r="AH135" s="6"/>
      <c r="AI135"/>
      <c r="AJ135"/>
    </row>
    <row r="136" spans="1:36" s="1" customFormat="1" ht="15.75" thickBot="1" x14ac:dyDescent="0.3">
      <c r="A136"/>
      <c r="B136" s="11" t="s">
        <v>246</v>
      </c>
      <c r="C136" s="42" t="str">
        <f>+IF($C$5=0,"",'4. '!B188)</f>
        <v/>
      </c>
      <c r="D136" s="42" t="str">
        <f>+IF($D$5=0,"",'4. '!C188)</f>
        <v/>
      </c>
      <c r="E136" s="42" t="str">
        <f>+IF($E$5=0,"",'4. '!D188)</f>
        <v/>
      </c>
      <c r="F136" s="42" t="str">
        <f>+IF($F$5=0,"",'4. '!E188)</f>
        <v/>
      </c>
      <c r="G136" s="42" t="str">
        <f>+IF($G$5=0,"",'4. '!F188)</f>
        <v/>
      </c>
      <c r="H136" s="42" t="str">
        <f>+IF($H$5=0,"",'4. '!G188)</f>
        <v/>
      </c>
      <c r="I136" s="42" t="str">
        <f>+IF($I$5=0,"",'4. '!H188)</f>
        <v/>
      </c>
      <c r="J136" s="42" t="str">
        <f>+IF($J$5=0,"",'4. '!I188)</f>
        <v/>
      </c>
      <c r="K136" s="42" t="str">
        <f>+IF($K$5=0,"",'4. '!J188)</f>
        <v/>
      </c>
      <c r="L136" s="42" t="str">
        <f>+IF($L$5=0,"",'4. '!K188)</f>
        <v/>
      </c>
      <c r="M136" s="42" t="str">
        <f>+IF($M$5=0,"",'4. '!L188)</f>
        <v/>
      </c>
      <c r="N136" s="42" t="str">
        <f>+IF($N$5=0,"",'4. '!M188)</f>
        <v/>
      </c>
      <c r="O136" s="42" t="str">
        <f>+IF($O$5=0,"",'4. '!N188)</f>
        <v/>
      </c>
      <c r="P136" s="42" t="str">
        <f>+IF($P$5=0,"",'4. '!O188)</f>
        <v/>
      </c>
      <c r="Q136" s="42" t="str">
        <f>+IF($Q$5=0,"",'4. '!P188)</f>
        <v/>
      </c>
      <c r="R136" s="42" t="str">
        <f>+IF($R$5=0,"",'4. '!Q188)</f>
        <v/>
      </c>
      <c r="S136" s="42" t="str">
        <f>+IF($S$5=0,"",'4. '!R188)</f>
        <v/>
      </c>
      <c r="T136" s="42" t="str">
        <f>+IF($T$5=0,"",'4. '!S188)</f>
        <v/>
      </c>
      <c r="U136" s="42" t="str">
        <f>+IF($U$5=0,"",'4. '!T188)</f>
        <v/>
      </c>
      <c r="V136" s="42" t="str">
        <f>+IF($V$5=0,"",'4. '!U188)</f>
        <v/>
      </c>
      <c r="W136" s="42" t="str">
        <f>+IF($W$5=0,"",'4. '!V188)</f>
        <v/>
      </c>
      <c r="X136" s="42" t="str">
        <f>+IF($X$5=0,"",'4. '!W188)</f>
        <v/>
      </c>
      <c r="Y136" s="42" t="str">
        <f>+IF($Y$5=0,"",'4. '!X188)</f>
        <v/>
      </c>
      <c r="Z136" s="42" t="str">
        <f>+IF($Z$5=0,"",'4. '!Y188)</f>
        <v/>
      </c>
      <c r="AA136" s="42" t="str">
        <f>+IF($AA$5=0,"",'4. '!Z188)</f>
        <v/>
      </c>
      <c r="AB136" s="42" t="str">
        <f>+IF($AB$5=0,"",'4. '!AA188)</f>
        <v/>
      </c>
      <c r="AC136" s="42" t="str">
        <f>+IF($AC$5=0,"",'4. '!AB188)</f>
        <v/>
      </c>
      <c r="AD136" s="42" t="str">
        <f>+IF($AD$5=0,"",'4. '!AC188)</f>
        <v/>
      </c>
      <c r="AE136" s="42" t="str">
        <f>+IF($AE$5=0,"",'4. '!AD188)</f>
        <v/>
      </c>
      <c r="AF136" s="42" t="str">
        <f>+IF($AF$5=0,"",'4. '!AE188)</f>
        <v/>
      </c>
      <c r="AG136" s="50" t="e">
        <f t="shared" si="3"/>
        <v>#DIV/0!</v>
      </c>
      <c r="AH136" s="6"/>
      <c r="AI136"/>
      <c r="AJ136"/>
    </row>
    <row r="137" spans="1:36" s="1" customFormat="1" ht="15.75" thickBot="1" x14ac:dyDescent="0.3">
      <c r="A137"/>
      <c r="B137" s="10" t="s">
        <v>251</v>
      </c>
      <c r="C137" s="42" t="str">
        <f>+IF($C$5=0,"",'4. '!B193)</f>
        <v/>
      </c>
      <c r="D137" s="42" t="str">
        <f>+IF($D$5=0,"",'4. '!C193)</f>
        <v/>
      </c>
      <c r="E137" s="42" t="str">
        <f>+IF($E$5=0,"",'4. '!D193)</f>
        <v/>
      </c>
      <c r="F137" s="42" t="str">
        <f>+IF($F$5=0,"",'4. '!E193)</f>
        <v/>
      </c>
      <c r="G137" s="42" t="str">
        <f>+IF($G$5=0,"",'4. '!F193)</f>
        <v/>
      </c>
      <c r="H137" s="42" t="str">
        <f>+IF($H$5=0,"",'4. '!G193)</f>
        <v/>
      </c>
      <c r="I137" s="42" t="str">
        <f>+IF($I$5=0,"",'4. '!H193)</f>
        <v/>
      </c>
      <c r="J137" s="42" t="str">
        <f>+IF($J$5=0,"",'4. '!I193)</f>
        <v/>
      </c>
      <c r="K137" s="42" t="str">
        <f>+IF($K$5=0,"",'4. '!J193)</f>
        <v/>
      </c>
      <c r="L137" s="42" t="str">
        <f>+IF($L$5=0,"",'4. '!K193)</f>
        <v/>
      </c>
      <c r="M137" s="42" t="str">
        <f>+IF($M$5=0,"",'4. '!L193)</f>
        <v/>
      </c>
      <c r="N137" s="42" t="str">
        <f>+IF($N$5=0,"",'4. '!M193)</f>
        <v/>
      </c>
      <c r="O137" s="42" t="str">
        <f>+IF($O$5=0,"",'4. '!N193)</f>
        <v/>
      </c>
      <c r="P137" s="42" t="str">
        <f>+IF($P$5=0,"",'4. '!O193)</f>
        <v/>
      </c>
      <c r="Q137" s="42" t="str">
        <f>+IF($Q$5=0,"",'4. '!P193)</f>
        <v/>
      </c>
      <c r="R137" s="42" t="str">
        <f>+IF($R$5=0,"",'4. '!Q193)</f>
        <v/>
      </c>
      <c r="S137" s="42" t="str">
        <f>+IF($S$5=0,"",'4. '!R193)</f>
        <v/>
      </c>
      <c r="T137" s="42" t="str">
        <f>+IF($T$5=0,"",'4. '!S193)</f>
        <v/>
      </c>
      <c r="U137" s="42" t="str">
        <f>+IF($U$5=0,"",'4. '!T193)</f>
        <v/>
      </c>
      <c r="V137" s="42" t="str">
        <f>+IF($V$5=0,"",'4. '!U193)</f>
        <v/>
      </c>
      <c r="W137" s="42" t="str">
        <f>+IF($W$5=0,"",'4. '!V193)</f>
        <v/>
      </c>
      <c r="X137" s="42" t="str">
        <f>+IF($X$5=0,"",'4. '!W193)</f>
        <v/>
      </c>
      <c r="Y137" s="42" t="str">
        <f>+IF($Y$5=0,"",'4. '!X193)</f>
        <v/>
      </c>
      <c r="Z137" s="42" t="str">
        <f>+IF($Z$5=0,"",'4. '!Y193)</f>
        <v/>
      </c>
      <c r="AA137" s="42" t="str">
        <f>+IF($AA$5=0,"",'4. '!Z193)</f>
        <v/>
      </c>
      <c r="AB137" s="42" t="str">
        <f>+IF($AB$5=0,"",'4. '!AA193)</f>
        <v/>
      </c>
      <c r="AC137" s="42" t="str">
        <f>+IF($AC$5=0,"",'4. '!AB193)</f>
        <v/>
      </c>
      <c r="AD137" s="42" t="str">
        <f>+IF($AD$5=0,"",'4. '!AC193)</f>
        <v/>
      </c>
      <c r="AE137" s="42" t="str">
        <f>+IF($AE$5=0,"",'4. '!AD193)</f>
        <v/>
      </c>
      <c r="AF137" s="42" t="str">
        <f>+IF($AF$5=0,"",'4. '!AE193)</f>
        <v/>
      </c>
      <c r="AG137" s="50" t="e">
        <f t="shared" si="3"/>
        <v>#DIV/0!</v>
      </c>
      <c r="AH137" s="6"/>
      <c r="AI137"/>
      <c r="AJ137"/>
    </row>
    <row r="138" spans="1:36" s="1" customFormat="1" ht="15.75" thickBot="1" x14ac:dyDescent="0.3">
      <c r="A138"/>
      <c r="B138" s="11" t="s">
        <v>248</v>
      </c>
      <c r="C138" s="42" t="str">
        <f>+IF($C$5=0,"",'4. '!B190)</f>
        <v/>
      </c>
      <c r="D138" s="42" t="str">
        <f>+IF($D$5=0,"",'4. '!C190)</f>
        <v/>
      </c>
      <c r="E138" s="42" t="str">
        <f>+IF($E$5=0,"",'4. '!D190)</f>
        <v/>
      </c>
      <c r="F138" s="42" t="str">
        <f>+IF($F$5=0,"",'4. '!E190)</f>
        <v/>
      </c>
      <c r="G138" s="42" t="str">
        <f>+IF($G$5=0,"",'4. '!F190)</f>
        <v/>
      </c>
      <c r="H138" s="42" t="str">
        <f>+IF($H$5=0,"",'4. '!G190)</f>
        <v/>
      </c>
      <c r="I138" s="42" t="str">
        <f>+IF($I$5=0,"",'4. '!H190)</f>
        <v/>
      </c>
      <c r="J138" s="42" t="str">
        <f>+IF($J$5=0,"",'4. '!I190)</f>
        <v/>
      </c>
      <c r="K138" s="42" t="str">
        <f>+IF($K$5=0,"",'4. '!J190)</f>
        <v/>
      </c>
      <c r="L138" s="42" t="str">
        <f>+IF($L$5=0,"",'4. '!K190)</f>
        <v/>
      </c>
      <c r="M138" s="42" t="str">
        <f>+IF($M$5=0,"",'4. '!L190)</f>
        <v/>
      </c>
      <c r="N138" s="42" t="str">
        <f>+IF($N$5=0,"",'4. '!M190)</f>
        <v/>
      </c>
      <c r="O138" s="42" t="str">
        <f>+IF($O$5=0,"",'4. '!N190)</f>
        <v/>
      </c>
      <c r="P138" s="42" t="str">
        <f>+IF($P$5=0,"",'4. '!O190)</f>
        <v/>
      </c>
      <c r="Q138" s="42" t="str">
        <f>+IF($Q$5=0,"",'4. '!P190)</f>
        <v/>
      </c>
      <c r="R138" s="42" t="str">
        <f>+IF($R$5=0,"",'4. '!Q190)</f>
        <v/>
      </c>
      <c r="S138" s="42" t="str">
        <f>+IF($S$5=0,"",'4. '!R190)</f>
        <v/>
      </c>
      <c r="T138" s="42" t="str">
        <f>+IF($T$5=0,"",'4. '!S190)</f>
        <v/>
      </c>
      <c r="U138" s="42" t="str">
        <f>+IF($U$5=0,"",'4. '!T190)</f>
        <v/>
      </c>
      <c r="V138" s="42" t="str">
        <f>+IF($V$5=0,"",'4. '!U190)</f>
        <v/>
      </c>
      <c r="W138" s="42" t="str">
        <f>+IF($W$5=0,"",'4. '!V190)</f>
        <v/>
      </c>
      <c r="X138" s="42" t="str">
        <f>+IF($X$5=0,"",'4. '!W190)</f>
        <v/>
      </c>
      <c r="Y138" s="42" t="str">
        <f>+IF($Y$5=0,"",'4. '!X190)</f>
        <v/>
      </c>
      <c r="Z138" s="42" t="str">
        <f>+IF($Z$5=0,"",'4. '!Y190)</f>
        <v/>
      </c>
      <c r="AA138" s="42" t="str">
        <f>+IF($AA$5=0,"",'4. '!Z190)</f>
        <v/>
      </c>
      <c r="AB138" s="42" t="str">
        <f>+IF($AB$5=0,"",'4. '!AA190)</f>
        <v/>
      </c>
      <c r="AC138" s="42" t="str">
        <f>+IF($AC$5=0,"",'4. '!AB190)</f>
        <v/>
      </c>
      <c r="AD138" s="42" t="str">
        <f>+IF($AD$5=0,"",'4. '!AC190)</f>
        <v/>
      </c>
      <c r="AE138" s="42" t="str">
        <f>+IF($AE$5=0,"",'4. '!AD190)</f>
        <v/>
      </c>
      <c r="AF138" s="42" t="str">
        <f>+IF($AF$5=0,"",'4. '!AE190)</f>
        <v/>
      </c>
      <c r="AG138" s="50" t="e">
        <f t="shared" si="3"/>
        <v>#DIV/0!</v>
      </c>
      <c r="AH138" s="6"/>
      <c r="AI138"/>
      <c r="AJ138"/>
    </row>
    <row r="139" spans="1:36" s="1" customFormat="1" ht="15.75" thickBot="1" x14ac:dyDescent="0.3">
      <c r="A139"/>
      <c r="B139" s="10" t="s">
        <v>145</v>
      </c>
      <c r="C139" s="42" t="str">
        <f>+IF($C$5=0,"",'4. '!B87)</f>
        <v/>
      </c>
      <c r="D139" s="42" t="str">
        <f>+IF($D$5=0,"",'4. '!C87)</f>
        <v/>
      </c>
      <c r="E139" s="42" t="str">
        <f>+IF($E$5=0,"",'4. '!D87)</f>
        <v/>
      </c>
      <c r="F139" s="42" t="str">
        <f>+IF($F$5=0,"",'4. '!E87)</f>
        <v/>
      </c>
      <c r="G139" s="42" t="str">
        <f>+IF($G$5=0,"",'4. '!F87)</f>
        <v/>
      </c>
      <c r="H139" s="42" t="str">
        <f>+IF($H$5=0,"",'4. '!G87)</f>
        <v/>
      </c>
      <c r="I139" s="42" t="str">
        <f>+IF($I$5=0,"",'4. '!H87)</f>
        <v/>
      </c>
      <c r="J139" s="42" t="str">
        <f>+IF($J$5=0,"",'4. '!I87)</f>
        <v/>
      </c>
      <c r="K139" s="42" t="str">
        <f>+IF($K$5=0,"",'4. '!J87)</f>
        <v/>
      </c>
      <c r="L139" s="42" t="str">
        <f>+IF($L$5=0,"",'4. '!K87)</f>
        <v/>
      </c>
      <c r="M139" s="42" t="str">
        <f>+IF($M$5=0,"",'4. '!L87)</f>
        <v/>
      </c>
      <c r="N139" s="42" t="str">
        <f>+IF($N$5=0,"",'4. '!M87)</f>
        <v/>
      </c>
      <c r="O139" s="42" t="str">
        <f>+IF($O$5=0,"",'4. '!N87)</f>
        <v/>
      </c>
      <c r="P139" s="42" t="str">
        <f>+IF($P$5=0,"",'4. '!O87)</f>
        <v/>
      </c>
      <c r="Q139" s="42" t="str">
        <f>+IF($Q$5=0,"",'4. '!P87)</f>
        <v/>
      </c>
      <c r="R139" s="42" t="str">
        <f>+IF($R$5=0,"",'4. '!Q87)</f>
        <v/>
      </c>
      <c r="S139" s="42" t="str">
        <f>+IF($S$5=0,"",'4. '!R87)</f>
        <v/>
      </c>
      <c r="T139" s="42" t="str">
        <f>+IF($T$5=0,"",'4. '!S87)</f>
        <v/>
      </c>
      <c r="U139" s="42" t="str">
        <f>+IF($U$5=0,"",'4. '!T87)</f>
        <v/>
      </c>
      <c r="V139" s="42" t="str">
        <f>+IF($V$5=0,"",'4. '!U87)</f>
        <v/>
      </c>
      <c r="W139" s="42" t="str">
        <f>+IF($W$5=0,"",'4. '!V87)</f>
        <v/>
      </c>
      <c r="X139" s="42" t="str">
        <f>+IF($X$5=0,"",'4. '!W87)</f>
        <v/>
      </c>
      <c r="Y139" s="42" t="str">
        <f>+IF($Y$5=0,"",'4. '!X87)</f>
        <v/>
      </c>
      <c r="Z139" s="42" t="str">
        <f>+IF($Z$5=0,"",'4. '!Y87)</f>
        <v/>
      </c>
      <c r="AA139" s="42" t="str">
        <f>+IF($AA$5=0,"",'4. '!Z87)</f>
        <v/>
      </c>
      <c r="AB139" s="42" t="str">
        <f>+IF($AB$5=0,"",'4. '!AA87)</f>
        <v/>
      </c>
      <c r="AC139" s="42" t="str">
        <f>+IF($AC$5=0,"",'4. '!AB87)</f>
        <v/>
      </c>
      <c r="AD139" s="42" t="str">
        <f>+IF($AD$5=0,"",'4. '!AC87)</f>
        <v/>
      </c>
      <c r="AE139" s="42" t="str">
        <f>+IF($AE$5=0,"",'4. '!AD87)</f>
        <v/>
      </c>
      <c r="AF139" s="42" t="str">
        <f>+IF($AF$5=0,"",'4. '!AE87)</f>
        <v/>
      </c>
      <c r="AG139" s="50" t="e">
        <f t="shared" si="3"/>
        <v>#DIV/0!</v>
      </c>
      <c r="AH139" s="6"/>
      <c r="AI139"/>
      <c r="AJ139"/>
    </row>
    <row r="140" spans="1:36" s="1" customFormat="1" ht="15.75" thickBot="1" x14ac:dyDescent="0.3">
      <c r="A140"/>
      <c r="B140" s="11" t="s">
        <v>51</v>
      </c>
      <c r="C140" s="42" t="str">
        <f>+IF($C$5=0,"",'4. '!B6)</f>
        <v/>
      </c>
      <c r="D140" s="42" t="str">
        <f>+IF($D$5=0,"",'4. '!C6)</f>
        <v/>
      </c>
      <c r="E140" s="42" t="str">
        <f>+IF($E$5=0,"",'4. '!D6)</f>
        <v/>
      </c>
      <c r="F140" s="42" t="str">
        <f>+IF($F$5=0,"",'4. '!E6)</f>
        <v/>
      </c>
      <c r="G140" s="42" t="str">
        <f>+IF($G$5=0,"",'4. '!F6)</f>
        <v/>
      </c>
      <c r="H140" s="42" t="str">
        <f>+IF($H$5=0,"",'4. '!G6)</f>
        <v/>
      </c>
      <c r="I140" s="42" t="str">
        <f>+IF($I$5=0,"",'4. '!H6)</f>
        <v/>
      </c>
      <c r="J140" s="42" t="str">
        <f>+IF($J$5=0,"",'4. '!I6)</f>
        <v/>
      </c>
      <c r="K140" s="42" t="str">
        <f>+IF($K$5=0,"",'4. '!J6)</f>
        <v/>
      </c>
      <c r="L140" s="42" t="str">
        <f>+IF($L$5=0,"",'4. '!K6)</f>
        <v/>
      </c>
      <c r="M140" s="42" t="str">
        <f>+IF($M$5=0,"",'4. '!L6)</f>
        <v/>
      </c>
      <c r="N140" s="42" t="str">
        <f>+IF($N$5=0,"",'4. '!M6)</f>
        <v/>
      </c>
      <c r="O140" s="42" t="str">
        <f>+IF($O$5=0,"",'4. '!N6)</f>
        <v/>
      </c>
      <c r="P140" s="42" t="str">
        <f>+IF($P$5=0,"",'4. '!O6)</f>
        <v/>
      </c>
      <c r="Q140" s="42" t="str">
        <f>+IF($Q$5=0,"",'4. '!P6)</f>
        <v/>
      </c>
      <c r="R140" s="42" t="str">
        <f>+IF($R$5=0,"",'4. '!Q6)</f>
        <v/>
      </c>
      <c r="S140" s="42" t="str">
        <f>+IF($S$5=0,"",'4. '!R6)</f>
        <v/>
      </c>
      <c r="T140" s="42" t="str">
        <f>+IF($T$5=0,"",'4. '!S6)</f>
        <v/>
      </c>
      <c r="U140" s="42" t="str">
        <f>+IF($U$5=0,"",'4. '!T6)</f>
        <v/>
      </c>
      <c r="V140" s="42" t="str">
        <f>+IF($V$5=0,"",'4. '!U6)</f>
        <v/>
      </c>
      <c r="W140" s="42" t="str">
        <f>+IF($W$5=0,"",'4. '!V6)</f>
        <v/>
      </c>
      <c r="X140" s="42" t="str">
        <f>+IF($X$5=0,"",'4. '!W6)</f>
        <v/>
      </c>
      <c r="Y140" s="42" t="str">
        <f>+IF($Y$5=0,"",'4. '!X6)</f>
        <v/>
      </c>
      <c r="Z140" s="42" t="str">
        <f>+IF($Z$5=0,"",'4. '!Y6)</f>
        <v/>
      </c>
      <c r="AA140" s="42" t="str">
        <f>+IF($AA$5=0,"",'4. '!Z6)</f>
        <v/>
      </c>
      <c r="AB140" s="42" t="str">
        <f>+IF($AB$5=0,"",'4. '!AA6)</f>
        <v/>
      </c>
      <c r="AC140" s="42" t="str">
        <f>+IF($AC$5=0,"",'4. '!AB6)</f>
        <v/>
      </c>
      <c r="AD140" s="42" t="str">
        <f>+IF($AD$5=0,"",'4. '!AC6)</f>
        <v/>
      </c>
      <c r="AE140" s="42" t="str">
        <f>+IF($AE$5=0,"",'4. '!AD6)</f>
        <v/>
      </c>
      <c r="AF140" s="42" t="str">
        <f>+IF($AF$5=0,"",'4. '!AE6)</f>
        <v/>
      </c>
      <c r="AG140" s="50" t="e">
        <f t="shared" si="3"/>
        <v>#DIV/0!</v>
      </c>
      <c r="AH140" s="6"/>
      <c r="AI140"/>
      <c r="AJ140"/>
    </row>
    <row r="141" spans="1:36" s="1" customFormat="1" ht="15.75" thickBot="1" x14ac:dyDescent="0.3">
      <c r="A141"/>
      <c r="B141" s="10" t="s">
        <v>222</v>
      </c>
      <c r="C141" s="42" t="str">
        <f>+IF($C$5=0,"",'4. '!B164)</f>
        <v/>
      </c>
      <c r="D141" s="42" t="str">
        <f>+IF($D$5=0,"",'4. '!C164)</f>
        <v/>
      </c>
      <c r="E141" s="42" t="str">
        <f>+IF($E$5=0,"",'4. '!D164)</f>
        <v/>
      </c>
      <c r="F141" s="42" t="str">
        <f>+IF($F$5=0,"",'4. '!E164)</f>
        <v/>
      </c>
      <c r="G141" s="42" t="str">
        <f>+IF($G$5=0,"",'4. '!F164)</f>
        <v/>
      </c>
      <c r="H141" s="42" t="str">
        <f>+IF($H$5=0,"",'4. '!G164)</f>
        <v/>
      </c>
      <c r="I141" s="42" t="str">
        <f>+IF($I$5=0,"",'4. '!H164)</f>
        <v/>
      </c>
      <c r="J141" s="42" t="str">
        <f>+IF($J$5=0,"",'4. '!I164)</f>
        <v/>
      </c>
      <c r="K141" s="42" t="str">
        <f>+IF($K$5=0,"",'4. '!J164)</f>
        <v/>
      </c>
      <c r="L141" s="42" t="str">
        <f>+IF($L$5=0,"",'4. '!K164)</f>
        <v/>
      </c>
      <c r="M141" s="42" t="str">
        <f>+IF($M$5=0,"",'4. '!L164)</f>
        <v/>
      </c>
      <c r="N141" s="42" t="str">
        <f>+IF($N$5=0,"",'4. '!M164)</f>
        <v/>
      </c>
      <c r="O141" s="42" t="str">
        <f>+IF($O$5=0,"",'4. '!N164)</f>
        <v/>
      </c>
      <c r="P141" s="42" t="str">
        <f>+IF($P$5=0,"",'4. '!O164)</f>
        <v/>
      </c>
      <c r="Q141" s="42" t="str">
        <f>+IF($Q$5=0,"",'4. '!P164)</f>
        <v/>
      </c>
      <c r="R141" s="42" t="str">
        <f>+IF($R$5=0,"",'4. '!Q164)</f>
        <v/>
      </c>
      <c r="S141" s="42" t="str">
        <f>+IF($S$5=0,"",'4. '!R164)</f>
        <v/>
      </c>
      <c r="T141" s="42" t="str">
        <f>+IF($T$5=0,"",'4. '!S164)</f>
        <v/>
      </c>
      <c r="U141" s="42" t="str">
        <f>+IF($U$5=0,"",'4. '!T164)</f>
        <v/>
      </c>
      <c r="V141" s="42" t="str">
        <f>+IF($V$5=0,"",'4. '!U164)</f>
        <v/>
      </c>
      <c r="W141" s="42" t="str">
        <f>+IF($W$5=0,"",'4. '!V164)</f>
        <v/>
      </c>
      <c r="X141" s="42" t="str">
        <f>+IF($X$5=0,"",'4. '!W164)</f>
        <v/>
      </c>
      <c r="Y141" s="42" t="str">
        <f>+IF($Y$5=0,"",'4. '!X164)</f>
        <v/>
      </c>
      <c r="Z141" s="42" t="str">
        <f>+IF($Z$5=0,"",'4. '!Y164)</f>
        <v/>
      </c>
      <c r="AA141" s="42" t="str">
        <f>+IF($AA$5=0,"",'4. '!Z164)</f>
        <v/>
      </c>
      <c r="AB141" s="42" t="str">
        <f>+IF($AB$5=0,"",'4. '!AA164)</f>
        <v/>
      </c>
      <c r="AC141" s="42" t="str">
        <f>+IF($AC$5=0,"",'4. '!AB164)</f>
        <v/>
      </c>
      <c r="AD141" s="42" t="str">
        <f>+IF($AD$5=0,"",'4. '!AC164)</f>
        <v/>
      </c>
      <c r="AE141" s="42" t="str">
        <f>+IF($AE$5=0,"",'4. '!AD164)</f>
        <v/>
      </c>
      <c r="AF141" s="42" t="str">
        <f>+IF($AF$5=0,"",'4. '!AE164)</f>
        <v/>
      </c>
      <c r="AG141" s="50" t="e">
        <f t="shared" si="3"/>
        <v>#DIV/0!</v>
      </c>
      <c r="AH141" s="6"/>
      <c r="AI141"/>
      <c r="AJ141"/>
    </row>
    <row r="142" spans="1:36" s="1" customFormat="1" ht="15.75" thickBot="1" x14ac:dyDescent="0.3">
      <c r="A142"/>
      <c r="B142" s="11" t="s">
        <v>219</v>
      </c>
      <c r="C142" s="42" t="str">
        <f>+IF($C$5=0,"",'4. '!B161)</f>
        <v/>
      </c>
      <c r="D142" s="42" t="str">
        <f>+IF($D$5=0,"",'4. '!C161)</f>
        <v/>
      </c>
      <c r="E142" s="42" t="str">
        <f>+IF($E$5=0,"",'4. '!D161)</f>
        <v/>
      </c>
      <c r="F142" s="42" t="str">
        <f>+IF($F$5=0,"",'4. '!E161)</f>
        <v/>
      </c>
      <c r="G142" s="42" t="str">
        <f>+IF($G$5=0,"",'4. '!F161)</f>
        <v/>
      </c>
      <c r="H142" s="42" t="str">
        <f>+IF($H$5=0,"",'4. '!G161)</f>
        <v/>
      </c>
      <c r="I142" s="42" t="str">
        <f>+IF($I$5=0,"",'4. '!H161)</f>
        <v/>
      </c>
      <c r="J142" s="42" t="str">
        <f>+IF($J$5=0,"",'4. '!I161)</f>
        <v/>
      </c>
      <c r="K142" s="42" t="str">
        <f>+IF($K$5=0,"",'4. '!J161)</f>
        <v/>
      </c>
      <c r="L142" s="42" t="str">
        <f>+IF($L$5=0,"",'4. '!K161)</f>
        <v/>
      </c>
      <c r="M142" s="42" t="str">
        <f>+IF($M$5=0,"",'4. '!L161)</f>
        <v/>
      </c>
      <c r="N142" s="42" t="str">
        <f>+IF($N$5=0,"",'4. '!M161)</f>
        <v/>
      </c>
      <c r="O142" s="42" t="str">
        <f>+IF($O$5=0,"",'4. '!N161)</f>
        <v/>
      </c>
      <c r="P142" s="42" t="str">
        <f>+IF($P$5=0,"",'4. '!O161)</f>
        <v/>
      </c>
      <c r="Q142" s="42" t="str">
        <f>+IF($Q$5=0,"",'4. '!P161)</f>
        <v/>
      </c>
      <c r="R142" s="42" t="str">
        <f>+IF($R$5=0,"",'4. '!Q161)</f>
        <v/>
      </c>
      <c r="S142" s="42" t="str">
        <f>+IF($S$5=0,"",'4. '!R161)</f>
        <v/>
      </c>
      <c r="T142" s="42" t="str">
        <f>+IF($T$5=0,"",'4. '!S161)</f>
        <v/>
      </c>
      <c r="U142" s="42" t="str">
        <f>+IF($U$5=0,"",'4. '!T161)</f>
        <v/>
      </c>
      <c r="V142" s="42" t="str">
        <f>+IF($V$5=0,"",'4. '!U161)</f>
        <v/>
      </c>
      <c r="W142" s="42" t="str">
        <f>+IF($W$5=0,"",'4. '!V161)</f>
        <v/>
      </c>
      <c r="X142" s="42" t="str">
        <f>+IF($X$5=0,"",'4. '!W161)</f>
        <v/>
      </c>
      <c r="Y142" s="42" t="str">
        <f>+IF($Y$5=0,"",'4. '!X161)</f>
        <v/>
      </c>
      <c r="Z142" s="42" t="str">
        <f>+IF($Z$5=0,"",'4. '!Y161)</f>
        <v/>
      </c>
      <c r="AA142" s="42" t="str">
        <f>+IF($AA$5=0,"",'4. '!Z161)</f>
        <v/>
      </c>
      <c r="AB142" s="42" t="str">
        <f>+IF($AB$5=0,"",'4. '!AA161)</f>
        <v/>
      </c>
      <c r="AC142" s="42" t="str">
        <f>+IF($AC$5=0,"",'4. '!AB161)</f>
        <v/>
      </c>
      <c r="AD142" s="42" t="str">
        <f>+IF($AD$5=0,"",'4. '!AC161)</f>
        <v/>
      </c>
      <c r="AE142" s="42" t="str">
        <f>+IF($AE$5=0,"",'4. '!AD161)</f>
        <v/>
      </c>
      <c r="AF142" s="42" t="str">
        <f>+IF($AF$5=0,"",'4. '!AE161)</f>
        <v/>
      </c>
      <c r="AG142" s="50" t="e">
        <f t="shared" si="3"/>
        <v>#DIV/0!</v>
      </c>
      <c r="AH142" s="6"/>
      <c r="AI142"/>
      <c r="AJ142"/>
    </row>
    <row r="143" spans="1:36" s="1" customFormat="1" ht="15.75" thickBot="1" x14ac:dyDescent="0.3">
      <c r="A143"/>
      <c r="B143" s="10" t="s">
        <v>224</v>
      </c>
      <c r="C143" s="42" t="str">
        <f>+IF($C$5=0,"",'4. '!B166)</f>
        <v/>
      </c>
      <c r="D143" s="42" t="str">
        <f>+IF($D$5=0,"",'4. '!C166)</f>
        <v/>
      </c>
      <c r="E143" s="42" t="str">
        <f>+IF($E$5=0,"",'4. '!D166)</f>
        <v/>
      </c>
      <c r="F143" s="42" t="str">
        <f>+IF($F$5=0,"",'4. '!E166)</f>
        <v/>
      </c>
      <c r="G143" s="42" t="str">
        <f>+IF($G$5=0,"",'4. '!F166)</f>
        <v/>
      </c>
      <c r="H143" s="42" t="str">
        <f>+IF($H$5=0,"",'4. '!G166)</f>
        <v/>
      </c>
      <c r="I143" s="42" t="str">
        <f>+IF($I$5=0,"",'4. '!H166)</f>
        <v/>
      </c>
      <c r="J143" s="42" t="str">
        <f>+IF($J$5=0,"",'4. '!I166)</f>
        <v/>
      </c>
      <c r="K143" s="42" t="str">
        <f>+IF($K$5=0,"",'4. '!J166)</f>
        <v/>
      </c>
      <c r="L143" s="42" t="str">
        <f>+IF($L$5=0,"",'4. '!K166)</f>
        <v/>
      </c>
      <c r="M143" s="42" t="str">
        <f>+IF($M$5=0,"",'4. '!L166)</f>
        <v/>
      </c>
      <c r="N143" s="42" t="str">
        <f>+IF($N$5=0,"",'4. '!M166)</f>
        <v/>
      </c>
      <c r="O143" s="42" t="str">
        <f>+IF($O$5=0,"",'4. '!N166)</f>
        <v/>
      </c>
      <c r="P143" s="42" t="str">
        <f>+IF($P$5=0,"",'4. '!O166)</f>
        <v/>
      </c>
      <c r="Q143" s="42" t="str">
        <f>+IF($Q$5=0,"",'4. '!P166)</f>
        <v/>
      </c>
      <c r="R143" s="42" t="str">
        <f>+IF($R$5=0,"",'4. '!Q166)</f>
        <v/>
      </c>
      <c r="S143" s="42" t="str">
        <f>+IF($S$5=0,"",'4. '!R166)</f>
        <v/>
      </c>
      <c r="T143" s="42" t="str">
        <f>+IF($T$5=0,"",'4. '!S166)</f>
        <v/>
      </c>
      <c r="U143" s="42" t="str">
        <f>+IF($U$5=0,"",'4. '!T166)</f>
        <v/>
      </c>
      <c r="V143" s="42" t="str">
        <f>+IF($V$5=0,"",'4. '!U166)</f>
        <v/>
      </c>
      <c r="W143" s="42" t="str">
        <f>+IF($W$5=0,"",'4. '!V166)</f>
        <v/>
      </c>
      <c r="X143" s="42" t="str">
        <f>+IF($X$5=0,"",'4. '!W166)</f>
        <v/>
      </c>
      <c r="Y143" s="42" t="str">
        <f>+IF($Y$5=0,"",'4. '!X166)</f>
        <v/>
      </c>
      <c r="Z143" s="42" t="str">
        <f>+IF($Z$5=0,"",'4. '!Y166)</f>
        <v/>
      </c>
      <c r="AA143" s="42" t="str">
        <f>+IF($AA$5=0,"",'4. '!Z166)</f>
        <v/>
      </c>
      <c r="AB143" s="42" t="str">
        <f>+IF($AB$5=0,"",'4. '!AA166)</f>
        <v/>
      </c>
      <c r="AC143" s="42" t="str">
        <f>+IF($AC$5=0,"",'4. '!AB166)</f>
        <v/>
      </c>
      <c r="AD143" s="42" t="str">
        <f>+IF($AD$5=0,"",'4. '!AC166)</f>
        <v/>
      </c>
      <c r="AE143" s="42" t="str">
        <f>+IF($AE$5=0,"",'4. '!AD166)</f>
        <v/>
      </c>
      <c r="AF143" s="42" t="str">
        <f>+IF($AF$5=0,"",'4. '!AE166)</f>
        <v/>
      </c>
      <c r="AG143" s="50" t="e">
        <f t="shared" si="3"/>
        <v>#DIV/0!</v>
      </c>
      <c r="AH143" s="6"/>
      <c r="AI143"/>
      <c r="AJ143"/>
    </row>
    <row r="144" spans="1:36" s="1" customFormat="1" ht="15.75" thickBot="1" x14ac:dyDescent="0.3">
      <c r="A144"/>
      <c r="B144" s="11" t="s">
        <v>221</v>
      </c>
      <c r="C144" s="42" t="str">
        <f>+IF($C$5=0,"",'4. '!B163)</f>
        <v/>
      </c>
      <c r="D144" s="42" t="str">
        <f>+IF($D$5=0,"",'4. '!C163)</f>
        <v/>
      </c>
      <c r="E144" s="42" t="str">
        <f>+IF($E$5=0,"",'4. '!D163)</f>
        <v/>
      </c>
      <c r="F144" s="42" t="str">
        <f>+IF($F$5=0,"",'4. '!E163)</f>
        <v/>
      </c>
      <c r="G144" s="42" t="str">
        <f>+IF($G$5=0,"",'4. '!F163)</f>
        <v/>
      </c>
      <c r="H144" s="42" t="str">
        <f>+IF($H$5=0,"",'4. '!G163)</f>
        <v/>
      </c>
      <c r="I144" s="42" t="str">
        <f>+IF($I$5=0,"",'4. '!H163)</f>
        <v/>
      </c>
      <c r="J144" s="42" t="str">
        <f>+IF($J$5=0,"",'4. '!I163)</f>
        <v/>
      </c>
      <c r="K144" s="42" t="str">
        <f>+IF($K$5=0,"",'4. '!J163)</f>
        <v/>
      </c>
      <c r="L144" s="42" t="str">
        <f>+IF($L$5=0,"",'4. '!K163)</f>
        <v/>
      </c>
      <c r="M144" s="42" t="str">
        <f>+IF($M$5=0,"",'4. '!L163)</f>
        <v/>
      </c>
      <c r="N144" s="42" t="str">
        <f>+IF($N$5=0,"",'4. '!M163)</f>
        <v/>
      </c>
      <c r="O144" s="42" t="str">
        <f>+IF($O$5=0,"",'4. '!N163)</f>
        <v/>
      </c>
      <c r="P144" s="42" t="str">
        <f>+IF($P$5=0,"",'4. '!O163)</f>
        <v/>
      </c>
      <c r="Q144" s="42" t="str">
        <f>+IF($Q$5=0,"",'4. '!P163)</f>
        <v/>
      </c>
      <c r="R144" s="42" t="str">
        <f>+IF($R$5=0,"",'4. '!Q163)</f>
        <v/>
      </c>
      <c r="S144" s="42" t="str">
        <f>+IF($S$5=0,"",'4. '!R163)</f>
        <v/>
      </c>
      <c r="T144" s="42" t="str">
        <f>+IF($T$5=0,"",'4. '!S163)</f>
        <v/>
      </c>
      <c r="U144" s="42" t="str">
        <f>+IF($U$5=0,"",'4. '!T163)</f>
        <v/>
      </c>
      <c r="V144" s="42" t="str">
        <f>+IF($V$5=0,"",'4. '!U163)</f>
        <v/>
      </c>
      <c r="W144" s="42" t="str">
        <f>+IF($W$5=0,"",'4. '!V163)</f>
        <v/>
      </c>
      <c r="X144" s="42" t="str">
        <f>+IF($X$5=0,"",'4. '!W163)</f>
        <v/>
      </c>
      <c r="Y144" s="42" t="str">
        <f>+IF($Y$5=0,"",'4. '!X163)</f>
        <v/>
      </c>
      <c r="Z144" s="42" t="str">
        <f>+IF($Z$5=0,"",'4. '!Y163)</f>
        <v/>
      </c>
      <c r="AA144" s="42" t="str">
        <f>+IF($AA$5=0,"",'4. '!Z163)</f>
        <v/>
      </c>
      <c r="AB144" s="42" t="str">
        <f>+IF($AB$5=0,"",'4. '!AA163)</f>
        <v/>
      </c>
      <c r="AC144" s="42" t="str">
        <f>+IF($AC$5=0,"",'4. '!AB163)</f>
        <v/>
      </c>
      <c r="AD144" s="42" t="str">
        <f>+IF($AD$5=0,"",'4. '!AC163)</f>
        <v/>
      </c>
      <c r="AE144" s="42" t="str">
        <f>+IF($AE$5=0,"",'4. '!AD163)</f>
        <v/>
      </c>
      <c r="AF144" s="42" t="str">
        <f>+IF($AF$5=0,"",'4. '!AE163)</f>
        <v/>
      </c>
      <c r="AG144" s="50" t="e">
        <f t="shared" si="3"/>
        <v>#DIV/0!</v>
      </c>
      <c r="AH144" s="6"/>
      <c r="AI144"/>
      <c r="AJ144"/>
    </row>
    <row r="145" spans="1:36" s="1" customFormat="1" ht="15.75" thickBot="1" x14ac:dyDescent="0.3">
      <c r="A145"/>
      <c r="B145" s="10" t="s">
        <v>129</v>
      </c>
      <c r="C145" s="42" t="str">
        <f>+IF($C$5=0,"",'4. '!B83)</f>
        <v/>
      </c>
      <c r="D145" s="42" t="str">
        <f>+IF($D$5=0,"",'4. '!C83)</f>
        <v/>
      </c>
      <c r="E145" s="42" t="str">
        <f>+IF($E$5=0,"",'4. '!D83)</f>
        <v/>
      </c>
      <c r="F145" s="42" t="str">
        <f>+IF($F$5=0,"",'4. '!E83)</f>
        <v/>
      </c>
      <c r="G145" s="42" t="str">
        <f>+IF($G$5=0,"",'4. '!F83)</f>
        <v/>
      </c>
      <c r="H145" s="42" t="str">
        <f>+IF($H$5=0,"",'4. '!G83)</f>
        <v/>
      </c>
      <c r="I145" s="42" t="str">
        <f>+IF($I$5=0,"",'4. '!H83)</f>
        <v/>
      </c>
      <c r="J145" s="42" t="str">
        <f>+IF($J$5=0,"",'4. '!I83)</f>
        <v/>
      </c>
      <c r="K145" s="42" t="str">
        <f>+IF($K$5=0,"",'4. '!J83)</f>
        <v/>
      </c>
      <c r="L145" s="42" t="str">
        <f>+IF($L$5=0,"",'4. '!K83)</f>
        <v/>
      </c>
      <c r="M145" s="42" t="str">
        <f>+IF($M$5=0,"",'4. '!L83)</f>
        <v/>
      </c>
      <c r="N145" s="42" t="str">
        <f>+IF($N$5=0,"",'4. '!M83)</f>
        <v/>
      </c>
      <c r="O145" s="42" t="str">
        <f>+IF($O$5=0,"",'4. '!N83)</f>
        <v/>
      </c>
      <c r="P145" s="42" t="str">
        <f>+IF($P$5=0,"",'4. '!O83)</f>
        <v/>
      </c>
      <c r="Q145" s="42" t="str">
        <f>+IF($Q$5=0,"",'4. '!P83)</f>
        <v/>
      </c>
      <c r="R145" s="42" t="str">
        <f>+IF($R$5=0,"",'4. '!Q83)</f>
        <v/>
      </c>
      <c r="S145" s="42" t="str">
        <f>+IF($S$5=0,"",'4. '!R83)</f>
        <v/>
      </c>
      <c r="T145" s="42" t="str">
        <f>+IF($T$5=0,"",'4. '!S83)</f>
        <v/>
      </c>
      <c r="U145" s="42" t="str">
        <f>+IF($U$5=0,"",'4. '!T83)</f>
        <v/>
      </c>
      <c r="V145" s="42" t="str">
        <f>+IF($V$5=0,"",'4. '!U83)</f>
        <v/>
      </c>
      <c r="W145" s="42" t="str">
        <f>+IF($W$5=0,"",'4. '!V83)</f>
        <v/>
      </c>
      <c r="X145" s="42" t="str">
        <f>+IF($X$5=0,"",'4. '!W83)</f>
        <v/>
      </c>
      <c r="Y145" s="42" t="str">
        <f>+IF($Y$5=0,"",'4. '!X83)</f>
        <v/>
      </c>
      <c r="Z145" s="42" t="str">
        <f>+IF($Z$5=0,"",'4. '!Y83)</f>
        <v/>
      </c>
      <c r="AA145" s="42" t="str">
        <f>+IF($AA$5=0,"",'4. '!Z83)</f>
        <v/>
      </c>
      <c r="AB145" s="42" t="str">
        <f>+IF($AB$5=0,"",'4. '!AA83)</f>
        <v/>
      </c>
      <c r="AC145" s="42" t="str">
        <f>+IF($AC$5=0,"",'4. '!AB83)</f>
        <v/>
      </c>
      <c r="AD145" s="42" t="str">
        <f>+IF($AD$5=0,"",'4. '!AC83)</f>
        <v/>
      </c>
      <c r="AE145" s="42" t="str">
        <f>+IF($AE$5=0,"",'4. '!AD83)</f>
        <v/>
      </c>
      <c r="AF145" s="42" t="str">
        <f>+IF($AF$5=0,"",'4. '!AE83)</f>
        <v/>
      </c>
      <c r="AG145" s="50" t="e">
        <f t="shared" si="3"/>
        <v>#DIV/0!</v>
      </c>
      <c r="AH145" s="6"/>
      <c r="AI145"/>
      <c r="AJ145"/>
    </row>
    <row r="146" spans="1:36" s="1" customFormat="1" ht="15.75" thickBot="1" x14ac:dyDescent="0.3">
      <c r="A146"/>
      <c r="B146" s="11" t="s">
        <v>126</v>
      </c>
      <c r="C146" s="42" t="str">
        <f>+IF($C$5=0,"",'4. '!B80)</f>
        <v/>
      </c>
      <c r="D146" s="42" t="str">
        <f>+IF($D$5=0,"",'4. '!C80)</f>
        <v/>
      </c>
      <c r="E146" s="42" t="str">
        <f>+IF($E$5=0,"",'4. '!D80)</f>
        <v/>
      </c>
      <c r="F146" s="42" t="str">
        <f>+IF($F$5=0,"",'4. '!E80)</f>
        <v/>
      </c>
      <c r="G146" s="42" t="str">
        <f>+IF($G$5=0,"",'4. '!F80)</f>
        <v/>
      </c>
      <c r="H146" s="42" t="str">
        <f>+IF($H$5=0,"",'4. '!G80)</f>
        <v/>
      </c>
      <c r="I146" s="42" t="str">
        <f>+IF($I$5=0,"",'4. '!H80)</f>
        <v/>
      </c>
      <c r="J146" s="42" t="str">
        <f>+IF($J$5=0,"",'4. '!I80)</f>
        <v/>
      </c>
      <c r="K146" s="42" t="str">
        <f>+IF($K$5=0,"",'4. '!J80)</f>
        <v/>
      </c>
      <c r="L146" s="42" t="str">
        <f>+IF($L$5=0,"",'4. '!K80)</f>
        <v/>
      </c>
      <c r="M146" s="42" t="str">
        <f>+IF($M$5=0,"",'4. '!L80)</f>
        <v/>
      </c>
      <c r="N146" s="42" t="str">
        <f>+IF($N$5=0,"",'4. '!M80)</f>
        <v/>
      </c>
      <c r="O146" s="42" t="str">
        <f>+IF($O$5=0,"",'4. '!N80)</f>
        <v/>
      </c>
      <c r="P146" s="42" t="str">
        <f>+IF($P$5=0,"",'4. '!O80)</f>
        <v/>
      </c>
      <c r="Q146" s="42" t="str">
        <f>+IF($Q$5=0,"",'4. '!P80)</f>
        <v/>
      </c>
      <c r="R146" s="42" t="str">
        <f>+IF($R$5=0,"",'4. '!Q80)</f>
        <v/>
      </c>
      <c r="S146" s="42" t="str">
        <f>+IF($S$5=0,"",'4. '!R80)</f>
        <v/>
      </c>
      <c r="T146" s="42" t="str">
        <f>+IF($T$5=0,"",'4. '!S80)</f>
        <v/>
      </c>
      <c r="U146" s="42" t="str">
        <f>+IF($U$5=0,"",'4. '!T80)</f>
        <v/>
      </c>
      <c r="V146" s="42" t="str">
        <f>+IF($V$5=0,"",'4. '!U80)</f>
        <v/>
      </c>
      <c r="W146" s="42" t="str">
        <f>+IF($W$5=0,"",'4. '!V80)</f>
        <v/>
      </c>
      <c r="X146" s="42" t="str">
        <f>+IF($X$5=0,"",'4. '!W80)</f>
        <v/>
      </c>
      <c r="Y146" s="42" t="str">
        <f>+IF($Y$5=0,"",'4. '!X80)</f>
        <v/>
      </c>
      <c r="Z146" s="42" t="str">
        <f>+IF($Z$5=0,"",'4. '!Y80)</f>
        <v/>
      </c>
      <c r="AA146" s="42" t="str">
        <f>+IF($AA$5=0,"",'4. '!Z80)</f>
        <v/>
      </c>
      <c r="AB146" s="42" t="str">
        <f>+IF($AB$5=0,"",'4. '!AA80)</f>
        <v/>
      </c>
      <c r="AC146" s="42" t="str">
        <f>+IF($AC$5=0,"",'4. '!AB80)</f>
        <v/>
      </c>
      <c r="AD146" s="42" t="str">
        <f>+IF($AD$5=0,"",'4. '!AC80)</f>
        <v/>
      </c>
      <c r="AE146" s="42" t="str">
        <f>+IF($AE$5=0,"",'4. '!AD80)</f>
        <v/>
      </c>
      <c r="AF146" s="42" t="str">
        <f>+IF($AF$5=0,"",'4. '!AE80)</f>
        <v/>
      </c>
      <c r="AG146" s="50" t="e">
        <f t="shared" si="3"/>
        <v>#DIV/0!</v>
      </c>
      <c r="AH146" s="6"/>
      <c r="AI146"/>
      <c r="AJ146"/>
    </row>
    <row r="147" spans="1:36" s="1" customFormat="1" ht="15.75" thickBot="1" x14ac:dyDescent="0.3">
      <c r="A147"/>
      <c r="B147" s="10" t="s">
        <v>131</v>
      </c>
      <c r="C147" s="42" t="str">
        <f>+IF($C$5=0,"",'4. '!B85)</f>
        <v/>
      </c>
      <c r="D147" s="42" t="str">
        <f>+IF($D$5=0,"",'4. '!C85)</f>
        <v/>
      </c>
      <c r="E147" s="42" t="str">
        <f>+IF($E$5=0,"",'4. '!D85)</f>
        <v/>
      </c>
      <c r="F147" s="42" t="str">
        <f>+IF($F$5=0,"",'4. '!E85)</f>
        <v/>
      </c>
      <c r="G147" s="42" t="str">
        <f>+IF($G$5=0,"",'4. '!F85)</f>
        <v/>
      </c>
      <c r="H147" s="42" t="str">
        <f>+IF($H$5=0,"",'4. '!G85)</f>
        <v/>
      </c>
      <c r="I147" s="42" t="str">
        <f>+IF($I$5=0,"",'4. '!H85)</f>
        <v/>
      </c>
      <c r="J147" s="42" t="str">
        <f>+IF($J$5=0,"",'4. '!I85)</f>
        <v/>
      </c>
      <c r="K147" s="42" t="str">
        <f>+IF($K$5=0,"",'4. '!J85)</f>
        <v/>
      </c>
      <c r="L147" s="42" t="str">
        <f>+IF($L$5=0,"",'4. '!K85)</f>
        <v/>
      </c>
      <c r="M147" s="42" t="str">
        <f>+IF($M$5=0,"",'4. '!L85)</f>
        <v/>
      </c>
      <c r="N147" s="42" t="str">
        <f>+IF($N$5=0,"",'4. '!M85)</f>
        <v/>
      </c>
      <c r="O147" s="42" t="str">
        <f>+IF($O$5=0,"",'4. '!N85)</f>
        <v/>
      </c>
      <c r="P147" s="42" t="str">
        <f>+IF($P$5=0,"",'4. '!O85)</f>
        <v/>
      </c>
      <c r="Q147" s="42" t="str">
        <f>+IF($Q$5=0,"",'4. '!P85)</f>
        <v/>
      </c>
      <c r="R147" s="42" t="str">
        <f>+IF($R$5=0,"",'4. '!Q85)</f>
        <v/>
      </c>
      <c r="S147" s="42" t="str">
        <f>+IF($S$5=0,"",'4. '!R85)</f>
        <v/>
      </c>
      <c r="T147" s="42" t="str">
        <f>+IF($T$5=0,"",'4. '!S85)</f>
        <v/>
      </c>
      <c r="U147" s="42" t="str">
        <f>+IF($U$5=0,"",'4. '!T85)</f>
        <v/>
      </c>
      <c r="V147" s="42" t="str">
        <f>+IF($V$5=0,"",'4. '!U85)</f>
        <v/>
      </c>
      <c r="W147" s="42" t="str">
        <f>+IF($W$5=0,"",'4. '!V85)</f>
        <v/>
      </c>
      <c r="X147" s="42" t="str">
        <f>+IF($X$5=0,"",'4. '!W85)</f>
        <v/>
      </c>
      <c r="Y147" s="42" t="str">
        <f>+IF($Y$5=0,"",'4. '!X85)</f>
        <v/>
      </c>
      <c r="Z147" s="42" t="str">
        <f>+IF($Z$5=0,"",'4. '!Y85)</f>
        <v/>
      </c>
      <c r="AA147" s="42" t="str">
        <f>+IF($AA$5=0,"",'4. '!Z85)</f>
        <v/>
      </c>
      <c r="AB147" s="42" t="str">
        <f>+IF($AB$5=0,"",'4. '!AA85)</f>
        <v/>
      </c>
      <c r="AC147" s="42" t="str">
        <f>+IF($AC$5=0,"",'4. '!AB85)</f>
        <v/>
      </c>
      <c r="AD147" s="42" t="str">
        <f>+IF($AD$5=0,"",'4. '!AC85)</f>
        <v/>
      </c>
      <c r="AE147" s="42" t="str">
        <f>+IF($AE$5=0,"",'4. '!AD85)</f>
        <v/>
      </c>
      <c r="AF147" s="42" t="str">
        <f>+IF($AF$5=0,"",'4. '!AE85)</f>
        <v/>
      </c>
      <c r="AG147" s="50" t="e">
        <f t="shared" si="3"/>
        <v>#DIV/0!</v>
      </c>
      <c r="AH147" s="6"/>
      <c r="AI147"/>
      <c r="AJ147"/>
    </row>
    <row r="148" spans="1:36" s="1" customFormat="1" ht="15.75" thickBot="1" x14ac:dyDescent="0.3">
      <c r="A148"/>
      <c r="B148" s="11" t="s">
        <v>128</v>
      </c>
      <c r="C148" s="42" t="str">
        <f>+IF($C$5=0,"",'4. '!B82)</f>
        <v/>
      </c>
      <c r="D148" s="42" t="str">
        <f>+IF($D$5=0,"",'4. '!C82)</f>
        <v/>
      </c>
      <c r="E148" s="42" t="str">
        <f>+IF($E$5=0,"",'4. '!D82)</f>
        <v/>
      </c>
      <c r="F148" s="42" t="str">
        <f>+IF($F$5=0,"",'4. '!E82)</f>
        <v/>
      </c>
      <c r="G148" s="42" t="str">
        <f>+IF($G$5=0,"",'4. '!F82)</f>
        <v/>
      </c>
      <c r="H148" s="42" t="str">
        <f>+IF($H$5=0,"",'4. '!G82)</f>
        <v/>
      </c>
      <c r="I148" s="42" t="str">
        <f>+IF($I$5=0,"",'4. '!H82)</f>
        <v/>
      </c>
      <c r="J148" s="42" t="str">
        <f>+IF($J$5=0,"",'4. '!I82)</f>
        <v/>
      </c>
      <c r="K148" s="42" t="str">
        <f>+IF($K$5=0,"",'4. '!J82)</f>
        <v/>
      </c>
      <c r="L148" s="42" t="str">
        <f>+IF($L$5=0,"",'4. '!K82)</f>
        <v/>
      </c>
      <c r="M148" s="42" t="str">
        <f>+IF($M$5=0,"",'4. '!L82)</f>
        <v/>
      </c>
      <c r="N148" s="42" t="str">
        <f>+IF($N$5=0,"",'4. '!M82)</f>
        <v/>
      </c>
      <c r="O148" s="42" t="str">
        <f>+IF($O$5=0,"",'4. '!N82)</f>
        <v/>
      </c>
      <c r="P148" s="42" t="str">
        <f>+IF($P$5=0,"",'4. '!O82)</f>
        <v/>
      </c>
      <c r="Q148" s="42" t="str">
        <f>+IF($Q$5=0,"",'4. '!P82)</f>
        <v/>
      </c>
      <c r="R148" s="42" t="str">
        <f>+IF($R$5=0,"",'4. '!Q82)</f>
        <v/>
      </c>
      <c r="S148" s="42" t="str">
        <f>+IF($S$5=0,"",'4. '!R82)</f>
        <v/>
      </c>
      <c r="T148" s="42" t="str">
        <f>+IF($T$5=0,"",'4. '!S82)</f>
        <v/>
      </c>
      <c r="U148" s="42" t="str">
        <f>+IF($U$5=0,"",'4. '!T82)</f>
        <v/>
      </c>
      <c r="V148" s="42" t="str">
        <f>+IF($V$5=0,"",'4. '!U82)</f>
        <v/>
      </c>
      <c r="W148" s="42" t="str">
        <f>+IF($W$5=0,"",'4. '!V82)</f>
        <v/>
      </c>
      <c r="X148" s="42" t="str">
        <f>+IF($X$5=0,"",'4. '!W82)</f>
        <v/>
      </c>
      <c r="Y148" s="42" t="str">
        <f>+IF($Y$5=0,"",'4. '!X82)</f>
        <v/>
      </c>
      <c r="Z148" s="42" t="str">
        <f>+IF($Z$5=0,"",'4. '!Y82)</f>
        <v/>
      </c>
      <c r="AA148" s="42" t="str">
        <f>+IF($AA$5=0,"",'4. '!Z82)</f>
        <v/>
      </c>
      <c r="AB148" s="42" t="str">
        <f>+IF($AB$5=0,"",'4. '!AA82)</f>
        <v/>
      </c>
      <c r="AC148" s="42" t="str">
        <f>+IF($AC$5=0,"",'4. '!AB82)</f>
        <v/>
      </c>
      <c r="AD148" s="42" t="str">
        <f>+IF($AD$5=0,"",'4. '!AC82)</f>
        <v/>
      </c>
      <c r="AE148" s="42" t="str">
        <f>+IF($AE$5=0,"",'4. '!AD82)</f>
        <v/>
      </c>
      <c r="AF148" s="42" t="str">
        <f>+IF($AF$5=0,"",'4. '!AE82)</f>
        <v/>
      </c>
      <c r="AG148" s="50" t="e">
        <f t="shared" si="3"/>
        <v>#DIV/0!</v>
      </c>
      <c r="AH148" s="6"/>
      <c r="AI148"/>
      <c r="AJ148"/>
    </row>
    <row r="149" spans="1:36" s="1" customFormat="1" ht="15.75" thickBot="1" x14ac:dyDescent="0.3">
      <c r="A149"/>
      <c r="B149" s="10" t="s">
        <v>190</v>
      </c>
      <c r="C149" s="42" t="str">
        <f>+IF($C$5=0,"",'4. '!B132)</f>
        <v/>
      </c>
      <c r="D149" s="42" t="str">
        <f>+IF($D$5=0,"",'4. '!C132)</f>
        <v/>
      </c>
      <c r="E149" s="42" t="str">
        <f>+IF($E$5=0,"",'4. '!D132)</f>
        <v/>
      </c>
      <c r="F149" s="42" t="str">
        <f>+IF($F$5=0,"",'4. '!E132)</f>
        <v/>
      </c>
      <c r="G149" s="42" t="str">
        <f>+IF($G$5=0,"",'4. '!F132)</f>
        <v/>
      </c>
      <c r="H149" s="42" t="str">
        <f>+IF($H$5=0,"",'4. '!G132)</f>
        <v/>
      </c>
      <c r="I149" s="42" t="str">
        <f>+IF($I$5=0,"",'4. '!H132)</f>
        <v/>
      </c>
      <c r="J149" s="42" t="str">
        <f>+IF($J$5=0,"",'4. '!I132)</f>
        <v/>
      </c>
      <c r="K149" s="42" t="str">
        <f>+IF($K$5=0,"",'4. '!J132)</f>
        <v/>
      </c>
      <c r="L149" s="42" t="str">
        <f>+IF($L$5=0,"",'4. '!K132)</f>
        <v/>
      </c>
      <c r="M149" s="42" t="str">
        <f>+IF($M$5=0,"",'4. '!L132)</f>
        <v/>
      </c>
      <c r="N149" s="42" t="str">
        <f>+IF($N$5=0,"",'4. '!M132)</f>
        <v/>
      </c>
      <c r="O149" s="42" t="str">
        <f>+IF($O$5=0,"",'4. '!N132)</f>
        <v/>
      </c>
      <c r="P149" s="42" t="str">
        <f>+IF($P$5=0,"",'4. '!O132)</f>
        <v/>
      </c>
      <c r="Q149" s="42" t="str">
        <f>+IF($Q$5=0,"",'4. '!P132)</f>
        <v/>
      </c>
      <c r="R149" s="42" t="str">
        <f>+IF($R$5=0,"",'4. '!Q132)</f>
        <v/>
      </c>
      <c r="S149" s="42" t="str">
        <f>+IF($S$5=0,"",'4. '!R132)</f>
        <v/>
      </c>
      <c r="T149" s="42" t="str">
        <f>+IF($T$5=0,"",'4. '!S132)</f>
        <v/>
      </c>
      <c r="U149" s="42" t="str">
        <f>+IF($U$5=0,"",'4. '!T132)</f>
        <v/>
      </c>
      <c r="V149" s="42" t="str">
        <f>+IF($V$5=0,"",'4. '!U132)</f>
        <v/>
      </c>
      <c r="W149" s="42" t="str">
        <f>+IF($W$5=0,"",'4. '!V132)</f>
        <v/>
      </c>
      <c r="X149" s="42" t="str">
        <f>+IF($X$5=0,"",'4. '!W132)</f>
        <v/>
      </c>
      <c r="Y149" s="42" t="str">
        <f>+IF($Y$5=0,"",'4. '!X132)</f>
        <v/>
      </c>
      <c r="Z149" s="42" t="str">
        <f>+IF($Z$5=0,"",'4. '!Y132)</f>
        <v/>
      </c>
      <c r="AA149" s="42" t="str">
        <f>+IF($AA$5=0,"",'4. '!Z132)</f>
        <v/>
      </c>
      <c r="AB149" s="42" t="str">
        <f>+IF($AB$5=0,"",'4. '!AA132)</f>
        <v/>
      </c>
      <c r="AC149" s="42" t="str">
        <f>+IF($AC$5=0,"",'4. '!AB132)</f>
        <v/>
      </c>
      <c r="AD149" s="42" t="str">
        <f>+IF($AD$5=0,"",'4. '!AC132)</f>
        <v/>
      </c>
      <c r="AE149" s="42" t="str">
        <f>+IF($AE$5=0,"",'4. '!AD132)</f>
        <v/>
      </c>
      <c r="AF149" s="42" t="str">
        <f>+IF($AF$5=0,"",'4. '!AE132)</f>
        <v/>
      </c>
      <c r="AG149" s="50" t="e">
        <f t="shared" si="3"/>
        <v>#DIV/0!</v>
      </c>
      <c r="AH149" s="6"/>
      <c r="AI149"/>
      <c r="AJ149"/>
    </row>
    <row r="150" spans="1:36" s="1" customFormat="1" ht="15.75" thickBot="1" x14ac:dyDescent="0.3">
      <c r="A150"/>
      <c r="B150" s="11" t="s">
        <v>97</v>
      </c>
      <c r="C150" s="42" t="str">
        <f>+IF($C$5=0,"",'4. '!B51)</f>
        <v/>
      </c>
      <c r="D150" s="42" t="str">
        <f>+IF($D$5=0,"",'4. '!C51)</f>
        <v/>
      </c>
      <c r="E150" s="42" t="str">
        <f>+IF($E$5=0,"",'4. '!D51)</f>
        <v/>
      </c>
      <c r="F150" s="42" t="str">
        <f>+IF($F$5=0,"",'4. '!E51)</f>
        <v/>
      </c>
      <c r="G150" s="42" t="str">
        <f>+IF($G$5=0,"",'4. '!F51)</f>
        <v/>
      </c>
      <c r="H150" s="42" t="str">
        <f>+IF($H$5=0,"",'4. '!G51)</f>
        <v/>
      </c>
      <c r="I150" s="42" t="str">
        <f>+IF($I$5=0,"",'4. '!H51)</f>
        <v/>
      </c>
      <c r="J150" s="42" t="str">
        <f>+IF($J$5=0,"",'4. '!I51)</f>
        <v/>
      </c>
      <c r="K150" s="42" t="str">
        <f>+IF($K$5=0,"",'4. '!J51)</f>
        <v/>
      </c>
      <c r="L150" s="42" t="str">
        <f>+IF($L$5=0,"",'4. '!K51)</f>
        <v/>
      </c>
      <c r="M150" s="42" t="str">
        <f>+IF($M$5=0,"",'4. '!L51)</f>
        <v/>
      </c>
      <c r="N150" s="42" t="str">
        <f>+IF($N$5=0,"",'4. '!M51)</f>
        <v/>
      </c>
      <c r="O150" s="42" t="str">
        <f>+IF($O$5=0,"",'4. '!N51)</f>
        <v/>
      </c>
      <c r="P150" s="42" t="str">
        <f>+IF($P$5=0,"",'4. '!O51)</f>
        <v/>
      </c>
      <c r="Q150" s="42" t="str">
        <f>+IF($Q$5=0,"",'4. '!P51)</f>
        <v/>
      </c>
      <c r="R150" s="42" t="str">
        <f>+IF($R$5=0,"",'4. '!Q51)</f>
        <v/>
      </c>
      <c r="S150" s="42" t="str">
        <f>+IF($S$5=0,"",'4. '!R51)</f>
        <v/>
      </c>
      <c r="T150" s="42" t="str">
        <f>+IF($T$5=0,"",'4. '!S51)</f>
        <v/>
      </c>
      <c r="U150" s="42" t="str">
        <f>+IF($U$5=0,"",'4. '!T51)</f>
        <v/>
      </c>
      <c r="V150" s="42" t="str">
        <f>+IF($V$5=0,"",'4. '!U51)</f>
        <v/>
      </c>
      <c r="W150" s="42" t="str">
        <f>+IF($W$5=0,"",'4. '!V51)</f>
        <v/>
      </c>
      <c r="X150" s="42" t="str">
        <f>+IF($X$5=0,"",'4. '!W51)</f>
        <v/>
      </c>
      <c r="Y150" s="42" t="str">
        <f>+IF($Y$5=0,"",'4. '!X51)</f>
        <v/>
      </c>
      <c r="Z150" s="42" t="str">
        <f>+IF($Z$5=0,"",'4. '!Y51)</f>
        <v/>
      </c>
      <c r="AA150" s="42" t="str">
        <f>+IF($AA$5=0,"",'4. '!Z51)</f>
        <v/>
      </c>
      <c r="AB150" s="42" t="str">
        <f>+IF($AB$5=0,"",'4. '!AA51)</f>
        <v/>
      </c>
      <c r="AC150" s="42" t="str">
        <f>+IF($AC$5=0,"",'4. '!AB51)</f>
        <v/>
      </c>
      <c r="AD150" s="42" t="str">
        <f>+IF($AD$5=0,"",'4. '!AC51)</f>
        <v/>
      </c>
      <c r="AE150" s="42" t="str">
        <f>+IF($AE$5=0,"",'4. '!AD51)</f>
        <v/>
      </c>
      <c r="AF150" s="42" t="str">
        <f>+IF($AF$5=0,"",'4. '!AE51)</f>
        <v/>
      </c>
      <c r="AG150" s="50" t="e">
        <f t="shared" si="3"/>
        <v>#DIV/0!</v>
      </c>
      <c r="AH150" s="6"/>
      <c r="AI150"/>
      <c r="AJ150"/>
    </row>
    <row r="151" spans="1:36" s="1" customFormat="1" ht="15.75" thickBot="1" x14ac:dyDescent="0.3">
      <c r="A151"/>
      <c r="B151" s="10" t="s">
        <v>180</v>
      </c>
      <c r="C151" s="42" t="str">
        <f>+IF($C$5=0,"",'4. '!B122)</f>
        <v/>
      </c>
      <c r="D151" s="42" t="str">
        <f>+IF($D$5=0,"",'4. '!C122)</f>
        <v/>
      </c>
      <c r="E151" s="42" t="str">
        <f>+IF($E$5=0,"",'4. '!D122)</f>
        <v/>
      </c>
      <c r="F151" s="42" t="str">
        <f>+IF($F$5=0,"",'4. '!E122)</f>
        <v/>
      </c>
      <c r="G151" s="42" t="str">
        <f>+IF($G$5=0,"",'4. '!F122)</f>
        <v/>
      </c>
      <c r="H151" s="42" t="str">
        <f>+IF($H$5=0,"",'4. '!G122)</f>
        <v/>
      </c>
      <c r="I151" s="42" t="str">
        <f>+IF($I$5=0,"",'4. '!H122)</f>
        <v/>
      </c>
      <c r="J151" s="42" t="str">
        <f>+IF($J$5=0,"",'4. '!I122)</f>
        <v/>
      </c>
      <c r="K151" s="42" t="str">
        <f>+IF($K$5=0,"",'4. '!J122)</f>
        <v/>
      </c>
      <c r="L151" s="42" t="str">
        <f>+IF($L$5=0,"",'4. '!K122)</f>
        <v/>
      </c>
      <c r="M151" s="42" t="str">
        <f>+IF($M$5=0,"",'4. '!L122)</f>
        <v/>
      </c>
      <c r="N151" s="42" t="str">
        <f>+IF($N$5=0,"",'4. '!M122)</f>
        <v/>
      </c>
      <c r="O151" s="42" t="str">
        <f>+IF($O$5=0,"",'4. '!N122)</f>
        <v/>
      </c>
      <c r="P151" s="42" t="str">
        <f>+IF($P$5=0,"",'4. '!O122)</f>
        <v/>
      </c>
      <c r="Q151" s="42" t="str">
        <f>+IF($Q$5=0,"",'4. '!P122)</f>
        <v/>
      </c>
      <c r="R151" s="42" t="str">
        <f>+IF($R$5=0,"",'4. '!Q122)</f>
        <v/>
      </c>
      <c r="S151" s="42" t="str">
        <f>+IF($S$5=0,"",'4. '!R122)</f>
        <v/>
      </c>
      <c r="T151" s="42" t="str">
        <f>+IF($T$5=0,"",'4. '!S122)</f>
        <v/>
      </c>
      <c r="U151" s="42" t="str">
        <f>+IF($U$5=0,"",'4. '!T122)</f>
        <v/>
      </c>
      <c r="V151" s="42" t="str">
        <f>+IF($V$5=0,"",'4. '!U122)</f>
        <v/>
      </c>
      <c r="W151" s="42" t="str">
        <f>+IF($W$5=0,"",'4. '!V122)</f>
        <v/>
      </c>
      <c r="X151" s="42" t="str">
        <f>+IF($X$5=0,"",'4. '!W122)</f>
        <v/>
      </c>
      <c r="Y151" s="42" t="str">
        <f>+IF($Y$5=0,"",'4. '!X122)</f>
        <v/>
      </c>
      <c r="Z151" s="42" t="str">
        <f>+IF($Z$5=0,"",'4. '!Y122)</f>
        <v/>
      </c>
      <c r="AA151" s="42" t="str">
        <f>+IF($AA$5=0,"",'4. '!Z122)</f>
        <v/>
      </c>
      <c r="AB151" s="42" t="str">
        <f>+IF($AB$5=0,"",'4. '!AA122)</f>
        <v/>
      </c>
      <c r="AC151" s="42" t="str">
        <f>+IF($AC$5=0,"",'4. '!AB122)</f>
        <v/>
      </c>
      <c r="AD151" s="42" t="str">
        <f>+IF($AD$5=0,"",'4. '!AC122)</f>
        <v/>
      </c>
      <c r="AE151" s="42" t="str">
        <f>+IF($AE$5=0,"",'4. '!AD122)</f>
        <v/>
      </c>
      <c r="AF151" s="42" t="str">
        <f>+IF($AF$5=0,"",'4. '!AE122)</f>
        <v/>
      </c>
      <c r="AG151" s="50" t="e">
        <f t="shared" si="3"/>
        <v>#DIV/0!</v>
      </c>
      <c r="AH151" s="6"/>
      <c r="AI151"/>
      <c r="AJ151"/>
    </row>
    <row r="152" spans="1:36" s="1" customFormat="1" ht="15.75" thickBot="1" x14ac:dyDescent="0.3">
      <c r="A152"/>
      <c r="B152" s="11" t="s">
        <v>182</v>
      </c>
      <c r="C152" s="42" t="str">
        <f>+IF($C$5=0,"",'4. '!B124)</f>
        <v/>
      </c>
      <c r="D152" s="42" t="str">
        <f>+IF($D$5=0,"",'4. '!C124)</f>
        <v/>
      </c>
      <c r="E152" s="42" t="str">
        <f>+IF($E$5=0,"",'4. '!D124)</f>
        <v/>
      </c>
      <c r="F152" s="42" t="str">
        <f>+IF($F$5=0,"",'4. '!E124)</f>
        <v/>
      </c>
      <c r="G152" s="42" t="str">
        <f>+IF($G$5=0,"",'4. '!F124)</f>
        <v/>
      </c>
      <c r="H152" s="42" t="str">
        <f>+IF($H$5=0,"",'4. '!G124)</f>
        <v/>
      </c>
      <c r="I152" s="42" t="str">
        <f>+IF($I$5=0,"",'4. '!H124)</f>
        <v/>
      </c>
      <c r="J152" s="42" t="str">
        <f>+IF($J$5=0,"",'4. '!I124)</f>
        <v/>
      </c>
      <c r="K152" s="42" t="str">
        <f>+IF($K$5=0,"",'4. '!J124)</f>
        <v/>
      </c>
      <c r="L152" s="42" t="str">
        <f>+IF($L$5=0,"",'4. '!K124)</f>
        <v/>
      </c>
      <c r="M152" s="42" t="str">
        <f>+IF($M$5=0,"",'4. '!L124)</f>
        <v/>
      </c>
      <c r="N152" s="42" t="str">
        <f>+IF($N$5=0,"",'4. '!M124)</f>
        <v/>
      </c>
      <c r="O152" s="42" t="str">
        <f>+IF($O$5=0,"",'4. '!N124)</f>
        <v/>
      </c>
      <c r="P152" s="42" t="str">
        <f>+IF($P$5=0,"",'4. '!O124)</f>
        <v/>
      </c>
      <c r="Q152" s="42" t="str">
        <f>+IF($Q$5=0,"",'4. '!P124)</f>
        <v/>
      </c>
      <c r="R152" s="42" t="str">
        <f>+IF($R$5=0,"",'4. '!Q124)</f>
        <v/>
      </c>
      <c r="S152" s="42" t="str">
        <f>+IF($S$5=0,"",'4. '!R124)</f>
        <v/>
      </c>
      <c r="T152" s="42" t="str">
        <f>+IF($T$5=0,"",'4. '!S124)</f>
        <v/>
      </c>
      <c r="U152" s="42" t="str">
        <f>+IF($U$5=0,"",'4. '!T124)</f>
        <v/>
      </c>
      <c r="V152" s="42" t="str">
        <f>+IF($V$5=0,"",'4. '!U124)</f>
        <v/>
      </c>
      <c r="W152" s="42" t="str">
        <f>+IF($W$5=0,"",'4. '!V124)</f>
        <v/>
      </c>
      <c r="X152" s="42" t="str">
        <f>+IF($X$5=0,"",'4. '!W124)</f>
        <v/>
      </c>
      <c r="Y152" s="42" t="str">
        <f>+IF($Y$5=0,"",'4. '!X124)</f>
        <v/>
      </c>
      <c r="Z152" s="42" t="str">
        <f>+IF($Z$5=0,"",'4. '!Y124)</f>
        <v/>
      </c>
      <c r="AA152" s="42" t="str">
        <f>+IF($AA$5=0,"",'4. '!Z124)</f>
        <v/>
      </c>
      <c r="AB152" s="42" t="str">
        <f>+IF($AB$5=0,"",'4. '!AA124)</f>
        <v/>
      </c>
      <c r="AC152" s="42" t="str">
        <f>+IF($AC$5=0,"",'4. '!AB124)</f>
        <v/>
      </c>
      <c r="AD152" s="42" t="str">
        <f>+IF($AD$5=0,"",'4. '!AC124)</f>
        <v/>
      </c>
      <c r="AE152" s="42" t="str">
        <f>+IF($AE$5=0,"",'4. '!AD124)</f>
        <v/>
      </c>
      <c r="AF152" s="42" t="str">
        <f>+IF($AF$5=0,"",'4. '!AE124)</f>
        <v/>
      </c>
      <c r="AG152" s="50" t="e">
        <f t="shared" si="3"/>
        <v>#DIV/0!</v>
      </c>
      <c r="AH152" s="6"/>
      <c r="AI152"/>
      <c r="AJ152"/>
    </row>
    <row r="153" spans="1:36" s="1" customFormat="1" ht="15.75" thickBot="1" x14ac:dyDescent="0.3">
      <c r="A153"/>
      <c r="B153" s="10" t="s">
        <v>87</v>
      </c>
      <c r="C153" s="42" t="str">
        <f>+IF($C$5=0,"",'4. '!B41)</f>
        <v/>
      </c>
      <c r="D153" s="42" t="str">
        <f>+IF($D$5=0,"",'4. '!C41)</f>
        <v/>
      </c>
      <c r="E153" s="42" t="str">
        <f>+IF($E$5=0,"",'4. '!D41)</f>
        <v/>
      </c>
      <c r="F153" s="42" t="str">
        <f>+IF($F$5=0,"",'4. '!E41)</f>
        <v/>
      </c>
      <c r="G153" s="42" t="str">
        <f>+IF($G$5=0,"",'4. '!F41)</f>
        <v/>
      </c>
      <c r="H153" s="42" t="str">
        <f>+IF($H$5=0,"",'4. '!G41)</f>
        <v/>
      </c>
      <c r="I153" s="42" t="str">
        <f>+IF($I$5=0,"",'4. '!H41)</f>
        <v/>
      </c>
      <c r="J153" s="42" t="str">
        <f>+IF($J$5=0,"",'4. '!I41)</f>
        <v/>
      </c>
      <c r="K153" s="42" t="str">
        <f>+IF($K$5=0,"",'4. '!J41)</f>
        <v/>
      </c>
      <c r="L153" s="42" t="str">
        <f>+IF($L$5=0,"",'4. '!K41)</f>
        <v/>
      </c>
      <c r="M153" s="42" t="str">
        <f>+IF($M$5=0,"",'4. '!L41)</f>
        <v/>
      </c>
      <c r="N153" s="42" t="str">
        <f>+IF($N$5=0,"",'4. '!M41)</f>
        <v/>
      </c>
      <c r="O153" s="42" t="str">
        <f>+IF($O$5=0,"",'4. '!N41)</f>
        <v/>
      </c>
      <c r="P153" s="42" t="str">
        <f>+IF($P$5=0,"",'4. '!O41)</f>
        <v/>
      </c>
      <c r="Q153" s="42" t="str">
        <f>+IF($Q$5=0,"",'4. '!P41)</f>
        <v/>
      </c>
      <c r="R153" s="42" t="str">
        <f>+IF($R$5=0,"",'4. '!Q41)</f>
        <v/>
      </c>
      <c r="S153" s="42" t="str">
        <f>+IF($S$5=0,"",'4. '!R41)</f>
        <v/>
      </c>
      <c r="T153" s="42" t="str">
        <f>+IF($T$5=0,"",'4. '!S41)</f>
        <v/>
      </c>
      <c r="U153" s="42" t="str">
        <f>+IF($U$5=0,"",'4. '!T41)</f>
        <v/>
      </c>
      <c r="V153" s="42" t="str">
        <f>+IF($V$5=0,"",'4. '!U41)</f>
        <v/>
      </c>
      <c r="W153" s="42" t="str">
        <f>+IF($W$5=0,"",'4. '!V41)</f>
        <v/>
      </c>
      <c r="X153" s="42" t="str">
        <f>+IF($X$5=0,"",'4. '!W41)</f>
        <v/>
      </c>
      <c r="Y153" s="42" t="str">
        <f>+IF($Y$5=0,"",'4. '!X41)</f>
        <v/>
      </c>
      <c r="Z153" s="42" t="str">
        <f>+IF($Z$5=0,"",'4. '!Y41)</f>
        <v/>
      </c>
      <c r="AA153" s="42" t="str">
        <f>+IF($AA$5=0,"",'4. '!Z41)</f>
        <v/>
      </c>
      <c r="AB153" s="42" t="str">
        <f>+IF($AB$5=0,"",'4. '!AA41)</f>
        <v/>
      </c>
      <c r="AC153" s="42" t="str">
        <f>+IF($AC$5=0,"",'4. '!AB41)</f>
        <v/>
      </c>
      <c r="AD153" s="42" t="str">
        <f>+IF($AD$5=0,"",'4. '!AC41)</f>
        <v/>
      </c>
      <c r="AE153" s="42" t="str">
        <f>+IF($AE$5=0,"",'4. '!AD41)</f>
        <v/>
      </c>
      <c r="AF153" s="42" t="str">
        <f>+IF($AF$5=0,"",'4. '!AE41)</f>
        <v/>
      </c>
      <c r="AG153" s="50" t="e">
        <f t="shared" si="3"/>
        <v>#DIV/0!</v>
      </c>
      <c r="AH153" s="6"/>
      <c r="AI153"/>
      <c r="AJ153"/>
    </row>
    <row r="154" spans="1:36" s="1" customFormat="1" ht="15.75" thickBot="1" x14ac:dyDescent="0.3">
      <c r="A154"/>
      <c r="B154" s="11" t="s">
        <v>89</v>
      </c>
      <c r="C154" s="42" t="str">
        <f>+IF($C$5=0,"",'4. '!B43)</f>
        <v/>
      </c>
      <c r="D154" s="42" t="str">
        <f>+IF($D$5=0,"",'4. '!C43)</f>
        <v/>
      </c>
      <c r="E154" s="42" t="str">
        <f>+IF($E$5=0,"",'4. '!D43)</f>
        <v/>
      </c>
      <c r="F154" s="42" t="str">
        <f>+IF($F$5=0,"",'4. '!E43)</f>
        <v/>
      </c>
      <c r="G154" s="42" t="str">
        <f>+IF($G$5=0,"",'4. '!F43)</f>
        <v/>
      </c>
      <c r="H154" s="42" t="str">
        <f>+IF($H$5=0,"",'4. '!G43)</f>
        <v/>
      </c>
      <c r="I154" s="42" t="str">
        <f>+IF($I$5=0,"",'4. '!H43)</f>
        <v/>
      </c>
      <c r="J154" s="42" t="str">
        <f>+IF($J$5=0,"",'4. '!I43)</f>
        <v/>
      </c>
      <c r="K154" s="42" t="str">
        <f>+IF($K$5=0,"",'4. '!J43)</f>
        <v/>
      </c>
      <c r="L154" s="42" t="str">
        <f>+IF($L$5=0,"",'4. '!K43)</f>
        <v/>
      </c>
      <c r="M154" s="42" t="str">
        <f>+IF($M$5=0,"",'4. '!L43)</f>
        <v/>
      </c>
      <c r="N154" s="42" t="str">
        <f>+IF($N$5=0,"",'4. '!M43)</f>
        <v/>
      </c>
      <c r="O154" s="42" t="str">
        <f>+IF($O$5=0,"",'4. '!N43)</f>
        <v/>
      </c>
      <c r="P154" s="42" t="str">
        <f>+IF($P$5=0,"",'4. '!O43)</f>
        <v/>
      </c>
      <c r="Q154" s="42" t="str">
        <f>+IF($Q$5=0,"",'4. '!P43)</f>
        <v/>
      </c>
      <c r="R154" s="42" t="str">
        <f>+IF($R$5=0,"",'4. '!Q43)</f>
        <v/>
      </c>
      <c r="S154" s="42" t="str">
        <f>+IF($S$5=0,"",'4. '!R43)</f>
        <v/>
      </c>
      <c r="T154" s="42" t="str">
        <f>+IF($T$5=0,"",'4. '!S43)</f>
        <v/>
      </c>
      <c r="U154" s="42" t="str">
        <f>+IF($U$5=0,"",'4. '!T43)</f>
        <v/>
      </c>
      <c r="V154" s="42" t="str">
        <f>+IF($V$5=0,"",'4. '!U43)</f>
        <v/>
      </c>
      <c r="W154" s="42" t="str">
        <f>+IF($W$5=0,"",'4. '!V43)</f>
        <v/>
      </c>
      <c r="X154" s="42" t="str">
        <f>+IF($X$5=0,"",'4. '!W43)</f>
        <v/>
      </c>
      <c r="Y154" s="42" t="str">
        <f>+IF($Y$5=0,"",'4. '!X43)</f>
        <v/>
      </c>
      <c r="Z154" s="42" t="str">
        <f>+IF($Z$5=0,"",'4. '!Y43)</f>
        <v/>
      </c>
      <c r="AA154" s="42" t="str">
        <f>+IF($AA$5=0,"",'4. '!Z43)</f>
        <v/>
      </c>
      <c r="AB154" s="42" t="str">
        <f>+IF($AB$5=0,"",'4. '!AA43)</f>
        <v/>
      </c>
      <c r="AC154" s="42" t="str">
        <f>+IF($AC$5=0,"",'4. '!AB43)</f>
        <v/>
      </c>
      <c r="AD154" s="42" t="str">
        <f>+IF($AD$5=0,"",'4. '!AC43)</f>
        <v/>
      </c>
      <c r="AE154" s="42" t="str">
        <f>+IF($AE$5=0,"",'4. '!AD43)</f>
        <v/>
      </c>
      <c r="AF154" s="42" t="str">
        <f>+IF($AF$5=0,"",'4. '!AE43)</f>
        <v/>
      </c>
      <c r="AG154" s="50" t="e">
        <f t="shared" si="3"/>
        <v>#DIV/0!</v>
      </c>
      <c r="AH154" s="6"/>
      <c r="AI154"/>
      <c r="AJ154"/>
    </row>
    <row r="155" spans="1:36" s="1" customFormat="1" ht="15.75" thickBot="1" x14ac:dyDescent="0.3">
      <c r="A155"/>
      <c r="B155" s="10" t="s">
        <v>187</v>
      </c>
      <c r="C155" s="42" t="str">
        <f>+IF($C$5=0,"",'4. '!B129)</f>
        <v/>
      </c>
      <c r="D155" s="42" t="str">
        <f>+IF($D$5=0,"",'4. '!C129)</f>
        <v/>
      </c>
      <c r="E155" s="42" t="str">
        <f>+IF($E$5=0,"",'4. '!D129)</f>
        <v/>
      </c>
      <c r="F155" s="42" t="str">
        <f>+IF($F$5=0,"",'4. '!E129)</f>
        <v/>
      </c>
      <c r="G155" s="42" t="str">
        <f>+IF($G$5=0,"",'4. '!F129)</f>
        <v/>
      </c>
      <c r="H155" s="42" t="str">
        <f>+IF($H$5=0,"",'4. '!G129)</f>
        <v/>
      </c>
      <c r="I155" s="42" t="str">
        <f>+IF($I$5=0,"",'4. '!H129)</f>
        <v/>
      </c>
      <c r="J155" s="42" t="str">
        <f>+IF($J$5=0,"",'4. '!I129)</f>
        <v/>
      </c>
      <c r="K155" s="42" t="str">
        <f>+IF($K$5=0,"",'4. '!J129)</f>
        <v/>
      </c>
      <c r="L155" s="42" t="str">
        <f>+IF($L$5=0,"",'4. '!K129)</f>
        <v/>
      </c>
      <c r="M155" s="42" t="str">
        <f>+IF($M$5=0,"",'4. '!L129)</f>
        <v/>
      </c>
      <c r="N155" s="42" t="str">
        <f>+IF($N$5=0,"",'4. '!M129)</f>
        <v/>
      </c>
      <c r="O155" s="42" t="str">
        <f>+IF($O$5=0,"",'4. '!N129)</f>
        <v/>
      </c>
      <c r="P155" s="42" t="str">
        <f>+IF($P$5=0,"",'4. '!O129)</f>
        <v/>
      </c>
      <c r="Q155" s="42" t="str">
        <f>+IF($Q$5=0,"",'4. '!P129)</f>
        <v/>
      </c>
      <c r="R155" s="42" t="str">
        <f>+IF($R$5=0,"",'4. '!Q129)</f>
        <v/>
      </c>
      <c r="S155" s="42" t="str">
        <f>+IF($S$5=0,"",'4. '!R129)</f>
        <v/>
      </c>
      <c r="T155" s="42" t="str">
        <f>+IF($T$5=0,"",'4. '!S129)</f>
        <v/>
      </c>
      <c r="U155" s="42" t="str">
        <f>+IF($U$5=0,"",'4. '!T129)</f>
        <v/>
      </c>
      <c r="V155" s="42" t="str">
        <f>+IF($V$5=0,"",'4. '!U129)</f>
        <v/>
      </c>
      <c r="W155" s="42" t="str">
        <f>+IF($W$5=0,"",'4. '!V129)</f>
        <v/>
      </c>
      <c r="X155" s="42" t="str">
        <f>+IF($X$5=0,"",'4. '!W129)</f>
        <v/>
      </c>
      <c r="Y155" s="42" t="str">
        <f>+IF($Y$5=0,"",'4. '!X129)</f>
        <v/>
      </c>
      <c r="Z155" s="42" t="str">
        <f>+IF($Z$5=0,"",'4. '!Y129)</f>
        <v/>
      </c>
      <c r="AA155" s="42" t="str">
        <f>+IF($AA$5=0,"",'4. '!Z129)</f>
        <v/>
      </c>
      <c r="AB155" s="42" t="str">
        <f>+IF($AB$5=0,"",'4. '!AA129)</f>
        <v/>
      </c>
      <c r="AC155" s="42" t="str">
        <f>+IF($AC$5=0,"",'4. '!AB129)</f>
        <v/>
      </c>
      <c r="AD155" s="42" t="str">
        <f>+IF($AD$5=0,"",'4. '!AC129)</f>
        <v/>
      </c>
      <c r="AE155" s="42" t="str">
        <f>+IF($AE$5=0,"",'4. '!AD129)</f>
        <v/>
      </c>
      <c r="AF155" s="42" t="str">
        <f>+IF($AF$5=0,"",'4. '!AE129)</f>
        <v/>
      </c>
      <c r="AG155" s="50" t="e">
        <f t="shared" si="3"/>
        <v>#DIV/0!</v>
      </c>
      <c r="AH155" s="6"/>
      <c r="AI155"/>
      <c r="AJ155"/>
    </row>
    <row r="156" spans="1:36" s="1" customFormat="1" ht="15.75" thickBot="1" x14ac:dyDescent="0.3">
      <c r="A156"/>
      <c r="B156" s="11" t="s">
        <v>184</v>
      </c>
      <c r="C156" s="42" t="str">
        <f>+IF($C$5=0,"",'4. '!B126)</f>
        <v/>
      </c>
      <c r="D156" s="42" t="str">
        <f>+IF($D$5=0,"",'4. '!C126)</f>
        <v/>
      </c>
      <c r="E156" s="42" t="str">
        <f>+IF($E$5=0,"",'4. '!D126)</f>
        <v/>
      </c>
      <c r="F156" s="42" t="str">
        <f>+IF($F$5=0,"",'4. '!E126)</f>
        <v/>
      </c>
      <c r="G156" s="42" t="str">
        <f>+IF($G$5=0,"",'4. '!F126)</f>
        <v/>
      </c>
      <c r="H156" s="42" t="str">
        <f>+IF($H$5=0,"",'4. '!G126)</f>
        <v/>
      </c>
      <c r="I156" s="42" t="str">
        <f>+IF($I$5=0,"",'4. '!H126)</f>
        <v/>
      </c>
      <c r="J156" s="42" t="str">
        <f>+IF($J$5=0,"",'4. '!I126)</f>
        <v/>
      </c>
      <c r="K156" s="42" t="str">
        <f>+IF($K$5=0,"",'4. '!J126)</f>
        <v/>
      </c>
      <c r="L156" s="42" t="str">
        <f>+IF($L$5=0,"",'4. '!K126)</f>
        <v/>
      </c>
      <c r="M156" s="42" t="str">
        <f>+IF($M$5=0,"",'4. '!L126)</f>
        <v/>
      </c>
      <c r="N156" s="42" t="str">
        <f>+IF($N$5=0,"",'4. '!M126)</f>
        <v/>
      </c>
      <c r="O156" s="42" t="str">
        <f>+IF($O$5=0,"",'4. '!N126)</f>
        <v/>
      </c>
      <c r="P156" s="42" t="str">
        <f>+IF($P$5=0,"",'4. '!O126)</f>
        <v/>
      </c>
      <c r="Q156" s="42" t="str">
        <f>+IF($Q$5=0,"",'4. '!P126)</f>
        <v/>
      </c>
      <c r="R156" s="42" t="str">
        <f>+IF($R$5=0,"",'4. '!Q126)</f>
        <v/>
      </c>
      <c r="S156" s="42" t="str">
        <f>+IF($S$5=0,"",'4. '!R126)</f>
        <v/>
      </c>
      <c r="T156" s="42" t="str">
        <f>+IF($T$5=0,"",'4. '!S126)</f>
        <v/>
      </c>
      <c r="U156" s="42" t="str">
        <f>+IF($U$5=0,"",'4. '!T126)</f>
        <v/>
      </c>
      <c r="V156" s="42" t="str">
        <f>+IF($V$5=0,"",'4. '!U126)</f>
        <v/>
      </c>
      <c r="W156" s="42" t="str">
        <f>+IF($W$5=0,"",'4. '!V126)</f>
        <v/>
      </c>
      <c r="X156" s="42" t="str">
        <f>+IF($X$5=0,"",'4. '!W126)</f>
        <v/>
      </c>
      <c r="Y156" s="42" t="str">
        <f>+IF($Y$5=0,"",'4. '!X126)</f>
        <v/>
      </c>
      <c r="Z156" s="42" t="str">
        <f>+IF($Z$5=0,"",'4. '!Y126)</f>
        <v/>
      </c>
      <c r="AA156" s="42" t="str">
        <f>+IF($AA$5=0,"",'4. '!Z126)</f>
        <v/>
      </c>
      <c r="AB156" s="42" t="str">
        <f>+IF($AB$5=0,"",'4. '!AA126)</f>
        <v/>
      </c>
      <c r="AC156" s="42" t="str">
        <f>+IF($AC$5=0,"",'4. '!AB126)</f>
        <v/>
      </c>
      <c r="AD156" s="42" t="str">
        <f>+IF($AD$5=0,"",'4. '!AC126)</f>
        <v/>
      </c>
      <c r="AE156" s="42" t="str">
        <f>+IF($AE$5=0,"",'4. '!AD126)</f>
        <v/>
      </c>
      <c r="AF156" s="42" t="str">
        <f>+IF($AF$5=0,"",'4. '!AE126)</f>
        <v/>
      </c>
      <c r="AG156" s="50" t="e">
        <f t="shared" si="3"/>
        <v>#DIV/0!</v>
      </c>
      <c r="AH156" s="6"/>
      <c r="AI156"/>
      <c r="AJ156"/>
    </row>
    <row r="157" spans="1:36" s="1" customFormat="1" ht="15.75" thickBot="1" x14ac:dyDescent="0.3">
      <c r="A157"/>
      <c r="B157" s="10" t="s">
        <v>94</v>
      </c>
      <c r="C157" s="42" t="str">
        <f>+IF($C$5=0,"",'4. '!B48)</f>
        <v/>
      </c>
      <c r="D157" s="42" t="str">
        <f>+IF($D$5=0,"",'4. '!C48)</f>
        <v/>
      </c>
      <c r="E157" s="42" t="str">
        <f>+IF($E$5=0,"",'4. '!D48)</f>
        <v/>
      </c>
      <c r="F157" s="42" t="str">
        <f>+IF($F$5=0,"",'4. '!E48)</f>
        <v/>
      </c>
      <c r="G157" s="42" t="str">
        <f>+IF($G$5=0,"",'4. '!F48)</f>
        <v/>
      </c>
      <c r="H157" s="42" t="str">
        <f>+IF($H$5=0,"",'4. '!G48)</f>
        <v/>
      </c>
      <c r="I157" s="42" t="str">
        <f>+IF($I$5=0,"",'4. '!H48)</f>
        <v/>
      </c>
      <c r="J157" s="42" t="str">
        <f>+IF($J$5=0,"",'4. '!I48)</f>
        <v/>
      </c>
      <c r="K157" s="42" t="str">
        <f>+IF($K$5=0,"",'4. '!J48)</f>
        <v/>
      </c>
      <c r="L157" s="42" t="str">
        <f>+IF($L$5=0,"",'4. '!K48)</f>
        <v/>
      </c>
      <c r="M157" s="42" t="str">
        <f>+IF($M$5=0,"",'4. '!L48)</f>
        <v/>
      </c>
      <c r="N157" s="42" t="str">
        <f>+IF($N$5=0,"",'4. '!M48)</f>
        <v/>
      </c>
      <c r="O157" s="42" t="str">
        <f>+IF($O$5=0,"",'4. '!N48)</f>
        <v/>
      </c>
      <c r="P157" s="42" t="str">
        <f>+IF($P$5=0,"",'4. '!O48)</f>
        <v/>
      </c>
      <c r="Q157" s="42" t="str">
        <f>+IF($Q$5=0,"",'4. '!P48)</f>
        <v/>
      </c>
      <c r="R157" s="42" t="str">
        <f>+IF($R$5=0,"",'4. '!Q48)</f>
        <v/>
      </c>
      <c r="S157" s="42" t="str">
        <f>+IF($S$5=0,"",'4. '!R48)</f>
        <v/>
      </c>
      <c r="T157" s="42" t="str">
        <f>+IF($T$5=0,"",'4. '!S48)</f>
        <v/>
      </c>
      <c r="U157" s="42" t="str">
        <f>+IF($U$5=0,"",'4. '!T48)</f>
        <v/>
      </c>
      <c r="V157" s="42" t="str">
        <f>+IF($V$5=0,"",'4. '!U48)</f>
        <v/>
      </c>
      <c r="W157" s="42" t="str">
        <f>+IF($W$5=0,"",'4. '!V48)</f>
        <v/>
      </c>
      <c r="X157" s="42" t="str">
        <f>+IF($X$5=0,"",'4. '!W48)</f>
        <v/>
      </c>
      <c r="Y157" s="42" t="str">
        <f>+IF($Y$5=0,"",'4. '!X48)</f>
        <v/>
      </c>
      <c r="Z157" s="42" t="str">
        <f>+IF($Z$5=0,"",'4. '!Y48)</f>
        <v/>
      </c>
      <c r="AA157" s="42" t="str">
        <f>+IF($AA$5=0,"",'4. '!Z48)</f>
        <v/>
      </c>
      <c r="AB157" s="42" t="str">
        <f>+IF($AB$5=0,"",'4. '!AA48)</f>
        <v/>
      </c>
      <c r="AC157" s="42" t="str">
        <f>+IF($AC$5=0,"",'4. '!AB48)</f>
        <v/>
      </c>
      <c r="AD157" s="42" t="str">
        <f>+IF($AD$5=0,"",'4. '!AC48)</f>
        <v/>
      </c>
      <c r="AE157" s="42" t="str">
        <f>+IF($AE$5=0,"",'4. '!AD48)</f>
        <v/>
      </c>
      <c r="AF157" s="42" t="str">
        <f>+IF($AF$5=0,"",'4. '!AE48)</f>
        <v/>
      </c>
      <c r="AG157" s="50" t="e">
        <f t="shared" si="3"/>
        <v>#DIV/0!</v>
      </c>
      <c r="AH157" s="6"/>
      <c r="AI157"/>
      <c r="AJ157"/>
    </row>
    <row r="158" spans="1:36" s="1" customFormat="1" ht="15.75" thickBot="1" x14ac:dyDescent="0.3">
      <c r="A158"/>
      <c r="B158" s="11" t="s">
        <v>91</v>
      </c>
      <c r="C158" s="42" t="str">
        <f>+IF($C$5=0,"",'4. '!B45)</f>
        <v/>
      </c>
      <c r="D158" s="42" t="str">
        <f>+IF($D$5=0,"",'4. '!C45)</f>
        <v/>
      </c>
      <c r="E158" s="42" t="str">
        <f>+IF($E$5=0,"",'4. '!D45)</f>
        <v/>
      </c>
      <c r="F158" s="42" t="str">
        <f>+IF($F$5=0,"",'4. '!E45)</f>
        <v/>
      </c>
      <c r="G158" s="42" t="str">
        <f>+IF($G$5=0,"",'4. '!F45)</f>
        <v/>
      </c>
      <c r="H158" s="42" t="str">
        <f>+IF($H$5=0,"",'4. '!G45)</f>
        <v/>
      </c>
      <c r="I158" s="42" t="str">
        <f>+IF($I$5=0,"",'4. '!H45)</f>
        <v/>
      </c>
      <c r="J158" s="42" t="str">
        <f>+IF($J$5=0,"",'4. '!I45)</f>
        <v/>
      </c>
      <c r="K158" s="42" t="str">
        <f>+IF($K$5=0,"",'4. '!J45)</f>
        <v/>
      </c>
      <c r="L158" s="42" t="str">
        <f>+IF($L$5=0,"",'4. '!K45)</f>
        <v/>
      </c>
      <c r="M158" s="42" t="str">
        <f>+IF($M$5=0,"",'4. '!L45)</f>
        <v/>
      </c>
      <c r="N158" s="42" t="str">
        <f>+IF($N$5=0,"",'4. '!M45)</f>
        <v/>
      </c>
      <c r="O158" s="42" t="str">
        <f>+IF($O$5=0,"",'4. '!N45)</f>
        <v/>
      </c>
      <c r="P158" s="42" t="str">
        <f>+IF($P$5=0,"",'4. '!O45)</f>
        <v/>
      </c>
      <c r="Q158" s="42" t="str">
        <f>+IF($Q$5=0,"",'4. '!P45)</f>
        <v/>
      </c>
      <c r="R158" s="42" t="str">
        <f>+IF($R$5=0,"",'4. '!Q45)</f>
        <v/>
      </c>
      <c r="S158" s="42" t="str">
        <f>+IF($S$5=0,"",'4. '!R45)</f>
        <v/>
      </c>
      <c r="T158" s="42" t="str">
        <f>+IF($T$5=0,"",'4. '!S45)</f>
        <v/>
      </c>
      <c r="U158" s="42" t="str">
        <f>+IF($U$5=0,"",'4. '!T45)</f>
        <v/>
      </c>
      <c r="V158" s="42" t="str">
        <f>+IF($V$5=0,"",'4. '!U45)</f>
        <v/>
      </c>
      <c r="W158" s="42" t="str">
        <f>+IF($W$5=0,"",'4. '!V45)</f>
        <v/>
      </c>
      <c r="X158" s="42" t="str">
        <f>+IF($X$5=0,"",'4. '!W45)</f>
        <v/>
      </c>
      <c r="Y158" s="42" t="str">
        <f>+IF($Y$5=0,"",'4. '!X45)</f>
        <v/>
      </c>
      <c r="Z158" s="42" t="str">
        <f>+IF($Z$5=0,"",'4. '!Y45)</f>
        <v/>
      </c>
      <c r="AA158" s="42" t="str">
        <f>+IF($AA$5=0,"",'4. '!Z45)</f>
        <v/>
      </c>
      <c r="AB158" s="42" t="str">
        <f>+IF($AB$5=0,"",'4. '!AA45)</f>
        <v/>
      </c>
      <c r="AC158" s="42" t="str">
        <f>+IF($AC$5=0,"",'4. '!AB45)</f>
        <v/>
      </c>
      <c r="AD158" s="42" t="str">
        <f>+IF($AD$5=0,"",'4. '!AC45)</f>
        <v/>
      </c>
      <c r="AE158" s="42" t="str">
        <f>+IF($AE$5=0,"",'4. '!AD45)</f>
        <v/>
      </c>
      <c r="AF158" s="42" t="str">
        <f>+IF($AF$5=0,"",'4. '!AE45)</f>
        <v/>
      </c>
      <c r="AG158" s="50" t="e">
        <f t="shared" si="3"/>
        <v>#DIV/0!</v>
      </c>
      <c r="AH158" s="6"/>
      <c r="AI158"/>
      <c r="AJ158"/>
    </row>
    <row r="159" spans="1:36" s="1" customFormat="1" ht="15.75" thickBot="1" x14ac:dyDescent="0.3">
      <c r="A159"/>
      <c r="B159" s="10" t="s">
        <v>163</v>
      </c>
      <c r="C159" s="42" t="str">
        <f>+IF($C$5=0,"",'4. '!B105)</f>
        <v/>
      </c>
      <c r="D159" s="42" t="str">
        <f>+IF($D$5=0,"",'4. '!C105)</f>
        <v/>
      </c>
      <c r="E159" s="42" t="str">
        <f>+IF($E$5=0,"",'4. '!D105)</f>
        <v/>
      </c>
      <c r="F159" s="42" t="str">
        <f>+IF($F$5=0,"",'4. '!E105)</f>
        <v/>
      </c>
      <c r="G159" s="42" t="str">
        <f>+IF($G$5=0,"",'4. '!F105)</f>
        <v/>
      </c>
      <c r="H159" s="42" t="str">
        <f>+IF($H$5=0,"",'4. '!G105)</f>
        <v/>
      </c>
      <c r="I159" s="42" t="str">
        <f>+IF($I$5=0,"",'4. '!H105)</f>
        <v/>
      </c>
      <c r="J159" s="42" t="str">
        <f>+IF($J$5=0,"",'4. '!I105)</f>
        <v/>
      </c>
      <c r="K159" s="42" t="str">
        <f>+IF($K$5=0,"",'4. '!J105)</f>
        <v/>
      </c>
      <c r="L159" s="42" t="str">
        <f>+IF($L$5=0,"",'4. '!K105)</f>
        <v/>
      </c>
      <c r="M159" s="42" t="str">
        <f>+IF($M$5=0,"",'4. '!L105)</f>
        <v/>
      </c>
      <c r="N159" s="42" t="str">
        <f>+IF($N$5=0,"",'4. '!M105)</f>
        <v/>
      </c>
      <c r="O159" s="42" t="str">
        <f>+IF($O$5=0,"",'4. '!N105)</f>
        <v/>
      </c>
      <c r="P159" s="42" t="str">
        <f>+IF($P$5=0,"",'4. '!O105)</f>
        <v/>
      </c>
      <c r="Q159" s="42" t="str">
        <f>+IF($Q$5=0,"",'4. '!P105)</f>
        <v/>
      </c>
      <c r="R159" s="42" t="str">
        <f>+IF($R$5=0,"",'4. '!Q105)</f>
        <v/>
      </c>
      <c r="S159" s="42" t="str">
        <f>+IF($S$5=0,"",'4. '!R105)</f>
        <v/>
      </c>
      <c r="T159" s="42" t="str">
        <f>+IF($T$5=0,"",'4. '!S105)</f>
        <v/>
      </c>
      <c r="U159" s="42" t="str">
        <f>+IF($U$5=0,"",'4. '!T105)</f>
        <v/>
      </c>
      <c r="V159" s="42" t="str">
        <f>+IF($V$5=0,"",'4. '!U105)</f>
        <v/>
      </c>
      <c r="W159" s="42" t="str">
        <f>+IF($W$5=0,"",'4. '!V105)</f>
        <v/>
      </c>
      <c r="X159" s="42" t="str">
        <f>+IF($X$5=0,"",'4. '!W105)</f>
        <v/>
      </c>
      <c r="Y159" s="42" t="str">
        <f>+IF($Y$5=0,"",'4. '!X105)</f>
        <v/>
      </c>
      <c r="Z159" s="42" t="str">
        <f>+IF($Z$5=0,"",'4. '!Y105)</f>
        <v/>
      </c>
      <c r="AA159" s="42" t="str">
        <f>+IF($AA$5=0,"",'4. '!Z105)</f>
        <v/>
      </c>
      <c r="AB159" s="42" t="str">
        <f>+IF($AB$5=0,"",'4. '!AA105)</f>
        <v/>
      </c>
      <c r="AC159" s="42" t="str">
        <f>+IF($AC$5=0,"",'4. '!AB105)</f>
        <v/>
      </c>
      <c r="AD159" s="42" t="str">
        <f>+IF($AD$5=0,"",'4. '!AC105)</f>
        <v/>
      </c>
      <c r="AE159" s="42" t="str">
        <f>+IF($AE$5=0,"",'4. '!AD105)</f>
        <v/>
      </c>
      <c r="AF159" s="42" t="str">
        <f>+IF($AF$5=0,"",'4. '!AE105)</f>
        <v/>
      </c>
      <c r="AG159" s="50" t="e">
        <f t="shared" si="3"/>
        <v>#DIV/0!</v>
      </c>
      <c r="AH159" s="6"/>
      <c r="AI159"/>
      <c r="AJ159"/>
    </row>
    <row r="160" spans="1:36" s="1" customFormat="1" ht="15.75" thickBot="1" x14ac:dyDescent="0.3">
      <c r="A160"/>
      <c r="B160" s="11" t="s">
        <v>69</v>
      </c>
      <c r="C160" s="42" t="str">
        <f>+IF($C$5=0,"",'4. '!B24)</f>
        <v/>
      </c>
      <c r="D160" s="42" t="str">
        <f>+IF($D$5=0,"",'4. '!C24)</f>
        <v/>
      </c>
      <c r="E160" s="42" t="str">
        <f>+IF($E$5=0,"",'4. '!D24)</f>
        <v/>
      </c>
      <c r="F160" s="42" t="str">
        <f>+IF($F$5=0,"",'4. '!E24)</f>
        <v/>
      </c>
      <c r="G160" s="42" t="str">
        <f>+IF($G$5=0,"",'4. '!F24)</f>
        <v/>
      </c>
      <c r="H160" s="42" t="str">
        <f>+IF($H$5=0,"",'4. '!G24)</f>
        <v/>
      </c>
      <c r="I160" s="42" t="str">
        <f>+IF($I$5=0,"",'4. '!H24)</f>
        <v/>
      </c>
      <c r="J160" s="42" t="str">
        <f>+IF($J$5=0,"",'4. '!I24)</f>
        <v/>
      </c>
      <c r="K160" s="42" t="str">
        <f>+IF($K$5=0,"",'4. '!J24)</f>
        <v/>
      </c>
      <c r="L160" s="42" t="str">
        <f>+IF($L$5=0,"",'4. '!K24)</f>
        <v/>
      </c>
      <c r="M160" s="42" t="str">
        <f>+IF($M$5=0,"",'4. '!L24)</f>
        <v/>
      </c>
      <c r="N160" s="42" t="str">
        <f>+IF($N$5=0,"",'4. '!M24)</f>
        <v/>
      </c>
      <c r="O160" s="42" t="str">
        <f>+IF($O$5=0,"",'4. '!N24)</f>
        <v/>
      </c>
      <c r="P160" s="42" t="str">
        <f>+IF($P$5=0,"",'4. '!O24)</f>
        <v/>
      </c>
      <c r="Q160" s="42" t="str">
        <f>+IF($Q$5=0,"",'4. '!P24)</f>
        <v/>
      </c>
      <c r="R160" s="42" t="str">
        <f>+IF($R$5=0,"",'4. '!Q24)</f>
        <v/>
      </c>
      <c r="S160" s="42" t="str">
        <f>+IF($S$5=0,"",'4. '!R24)</f>
        <v/>
      </c>
      <c r="T160" s="42" t="str">
        <f>+IF($T$5=0,"",'4. '!S24)</f>
        <v/>
      </c>
      <c r="U160" s="42" t="str">
        <f>+IF($U$5=0,"",'4. '!T24)</f>
        <v/>
      </c>
      <c r="V160" s="42" t="str">
        <f>+IF($V$5=0,"",'4. '!U24)</f>
        <v/>
      </c>
      <c r="W160" s="42" t="str">
        <f>+IF($W$5=0,"",'4. '!V24)</f>
        <v/>
      </c>
      <c r="X160" s="42" t="str">
        <f>+IF($X$5=0,"",'4. '!W24)</f>
        <v/>
      </c>
      <c r="Y160" s="42" t="str">
        <f>+IF($Y$5=0,"",'4. '!X24)</f>
        <v/>
      </c>
      <c r="Z160" s="42" t="str">
        <f>+IF($Z$5=0,"",'4. '!Y24)</f>
        <v/>
      </c>
      <c r="AA160" s="42" t="str">
        <f>+IF($AA$5=0,"",'4. '!Z24)</f>
        <v/>
      </c>
      <c r="AB160" s="42" t="str">
        <f>+IF($AB$5=0,"",'4. '!AA24)</f>
        <v/>
      </c>
      <c r="AC160" s="42" t="str">
        <f>+IF($AC$5=0,"",'4. '!AB24)</f>
        <v/>
      </c>
      <c r="AD160" s="42" t="str">
        <f>+IF($AD$5=0,"",'4. '!AC24)</f>
        <v/>
      </c>
      <c r="AE160" s="42" t="str">
        <f>+IF($AE$5=0,"",'4. '!AD24)</f>
        <v/>
      </c>
      <c r="AF160" s="42" t="str">
        <f>+IF($AF$5=0,"",'4. '!AE24)</f>
        <v/>
      </c>
      <c r="AG160" s="50" t="e">
        <f t="shared" si="3"/>
        <v>#DIV/0!</v>
      </c>
      <c r="AH160" s="6"/>
      <c r="AI160"/>
      <c r="AJ160"/>
    </row>
    <row r="161" spans="1:36" s="1" customFormat="1" ht="15.75" thickBot="1" x14ac:dyDescent="0.3">
      <c r="A161"/>
      <c r="B161" s="10" t="s">
        <v>171</v>
      </c>
      <c r="C161" s="42" t="str">
        <f>+IF($C$5=0,"",'4. '!B113)</f>
        <v/>
      </c>
      <c r="D161" s="42" t="str">
        <f>+IF($D$5=0,"",'4. '!C113)</f>
        <v/>
      </c>
      <c r="E161" s="42" t="str">
        <f>+IF($E$5=0,"",'4. '!D113)</f>
        <v/>
      </c>
      <c r="F161" s="42" t="str">
        <f>+IF($F$5=0,"",'4. '!E113)</f>
        <v/>
      </c>
      <c r="G161" s="42" t="str">
        <f>+IF($G$5=0,"",'4. '!F113)</f>
        <v/>
      </c>
      <c r="H161" s="42" t="str">
        <f>+IF($H$5=0,"",'4. '!G113)</f>
        <v/>
      </c>
      <c r="I161" s="42" t="str">
        <f>+IF($I$5=0,"",'4. '!H113)</f>
        <v/>
      </c>
      <c r="J161" s="42" t="str">
        <f>+IF($J$5=0,"",'4. '!I113)</f>
        <v/>
      </c>
      <c r="K161" s="42" t="str">
        <f>+IF($K$5=0,"",'4. '!J113)</f>
        <v/>
      </c>
      <c r="L161" s="42" t="str">
        <f>+IF($L$5=0,"",'4. '!K113)</f>
        <v/>
      </c>
      <c r="M161" s="42" t="str">
        <f>+IF($M$5=0,"",'4. '!L113)</f>
        <v/>
      </c>
      <c r="N161" s="42" t="str">
        <f>+IF($N$5=0,"",'4. '!M113)</f>
        <v/>
      </c>
      <c r="O161" s="42" t="str">
        <f>+IF($O$5=0,"",'4. '!N113)</f>
        <v/>
      </c>
      <c r="P161" s="42" t="str">
        <f>+IF($P$5=0,"",'4. '!O113)</f>
        <v/>
      </c>
      <c r="Q161" s="42" t="str">
        <f>+IF($Q$5=0,"",'4. '!P113)</f>
        <v/>
      </c>
      <c r="R161" s="42" t="str">
        <f>+IF($R$5=0,"",'4. '!Q113)</f>
        <v/>
      </c>
      <c r="S161" s="42" t="str">
        <f>+IF($S$5=0,"",'4. '!R113)</f>
        <v/>
      </c>
      <c r="T161" s="42" t="str">
        <f>+IF($T$5=0,"",'4. '!S113)</f>
        <v/>
      </c>
      <c r="U161" s="42" t="str">
        <f>+IF($U$5=0,"",'4. '!T113)</f>
        <v/>
      </c>
      <c r="V161" s="42" t="str">
        <f>+IF($V$5=0,"",'4. '!U113)</f>
        <v/>
      </c>
      <c r="W161" s="42" t="str">
        <f>+IF($W$5=0,"",'4. '!V113)</f>
        <v/>
      </c>
      <c r="X161" s="42" t="str">
        <f>+IF($X$5=0,"",'4. '!W113)</f>
        <v/>
      </c>
      <c r="Y161" s="42" t="str">
        <f>+IF($Y$5=0,"",'4. '!X113)</f>
        <v/>
      </c>
      <c r="Z161" s="42" t="str">
        <f>+IF($Z$5=0,"",'4. '!Y113)</f>
        <v/>
      </c>
      <c r="AA161" s="42" t="str">
        <f>+IF($AA$5=0,"",'4. '!Z113)</f>
        <v/>
      </c>
      <c r="AB161" s="42" t="str">
        <f>+IF($AB$5=0,"",'4. '!AA113)</f>
        <v/>
      </c>
      <c r="AC161" s="42" t="str">
        <f>+IF($AC$5=0,"",'4. '!AB113)</f>
        <v/>
      </c>
      <c r="AD161" s="42" t="str">
        <f>+IF($AD$5=0,"",'4. '!AC113)</f>
        <v/>
      </c>
      <c r="AE161" s="42" t="str">
        <f>+IF($AE$5=0,"",'4. '!AD113)</f>
        <v/>
      </c>
      <c r="AF161" s="42" t="str">
        <f>+IF($AF$5=0,"",'4. '!AE113)</f>
        <v/>
      </c>
      <c r="AG161" s="50" t="e">
        <f t="shared" si="3"/>
        <v>#DIV/0!</v>
      </c>
      <c r="AH161" s="6"/>
      <c r="AI161"/>
      <c r="AJ161"/>
    </row>
    <row r="162" spans="1:36" s="1" customFormat="1" ht="15.75" thickBot="1" x14ac:dyDescent="0.3">
      <c r="A162"/>
      <c r="B162" s="11" t="s">
        <v>173</v>
      </c>
      <c r="C162" s="42" t="str">
        <f>+IF($C$5=0,"",'4. '!B115)</f>
        <v/>
      </c>
      <c r="D162" s="42" t="str">
        <f>+IF($D$5=0,"",'4. '!C115)</f>
        <v/>
      </c>
      <c r="E162" s="42" t="str">
        <f>+IF($E$5=0,"",'4. '!D115)</f>
        <v/>
      </c>
      <c r="F162" s="42" t="str">
        <f>+IF($F$5=0,"",'4. '!E115)</f>
        <v/>
      </c>
      <c r="G162" s="42" t="str">
        <f>+IF($G$5=0,"",'4. '!F115)</f>
        <v/>
      </c>
      <c r="H162" s="42" t="str">
        <f>+IF($H$5=0,"",'4. '!G115)</f>
        <v/>
      </c>
      <c r="I162" s="42" t="str">
        <f>+IF($I$5=0,"",'4. '!H115)</f>
        <v/>
      </c>
      <c r="J162" s="42" t="str">
        <f>+IF($J$5=0,"",'4. '!I115)</f>
        <v/>
      </c>
      <c r="K162" s="42" t="str">
        <f>+IF($K$5=0,"",'4. '!J115)</f>
        <v/>
      </c>
      <c r="L162" s="42" t="str">
        <f>+IF($L$5=0,"",'4. '!K115)</f>
        <v/>
      </c>
      <c r="M162" s="42" t="str">
        <f>+IF($M$5=0,"",'4. '!L115)</f>
        <v/>
      </c>
      <c r="N162" s="42" t="str">
        <f>+IF($N$5=0,"",'4. '!M115)</f>
        <v/>
      </c>
      <c r="O162" s="42" t="str">
        <f>+IF($O$5=0,"",'4. '!N115)</f>
        <v/>
      </c>
      <c r="P162" s="42" t="str">
        <f>+IF($P$5=0,"",'4. '!O115)</f>
        <v/>
      </c>
      <c r="Q162" s="42" t="str">
        <f>+IF($Q$5=0,"",'4. '!P115)</f>
        <v/>
      </c>
      <c r="R162" s="42" t="str">
        <f>+IF($R$5=0,"",'4. '!Q115)</f>
        <v/>
      </c>
      <c r="S162" s="42" t="str">
        <f>+IF($S$5=0,"",'4. '!R115)</f>
        <v/>
      </c>
      <c r="T162" s="42" t="str">
        <f>+IF($T$5=0,"",'4. '!S115)</f>
        <v/>
      </c>
      <c r="U162" s="42" t="str">
        <f>+IF($U$5=0,"",'4. '!T115)</f>
        <v/>
      </c>
      <c r="V162" s="42" t="str">
        <f>+IF($V$5=0,"",'4. '!U115)</f>
        <v/>
      </c>
      <c r="W162" s="42" t="str">
        <f>+IF($W$5=0,"",'4. '!V115)</f>
        <v/>
      </c>
      <c r="X162" s="42" t="str">
        <f>+IF($X$5=0,"",'4. '!W115)</f>
        <v/>
      </c>
      <c r="Y162" s="42" t="str">
        <f>+IF($Y$5=0,"",'4. '!X115)</f>
        <v/>
      </c>
      <c r="Z162" s="42" t="str">
        <f>+IF($Z$5=0,"",'4. '!Y115)</f>
        <v/>
      </c>
      <c r="AA162" s="42" t="str">
        <f>+IF($AA$5=0,"",'4. '!Z115)</f>
        <v/>
      </c>
      <c r="AB162" s="42" t="str">
        <f>+IF($AB$5=0,"",'4. '!AA115)</f>
        <v/>
      </c>
      <c r="AC162" s="42" t="str">
        <f>+IF($AC$5=0,"",'4. '!AB115)</f>
        <v/>
      </c>
      <c r="AD162" s="42" t="str">
        <f>+IF($AD$5=0,"",'4. '!AC115)</f>
        <v/>
      </c>
      <c r="AE162" s="42" t="str">
        <f>+IF($AE$5=0,"",'4. '!AD115)</f>
        <v/>
      </c>
      <c r="AF162" s="42" t="str">
        <f>+IF($AF$5=0,"",'4. '!AE115)</f>
        <v/>
      </c>
      <c r="AG162" s="50" t="e">
        <f t="shared" si="3"/>
        <v>#DIV/0!</v>
      </c>
      <c r="AH162" s="6"/>
      <c r="AI162"/>
      <c r="AJ162"/>
    </row>
    <row r="163" spans="1:36" s="1" customFormat="1" ht="15.75" thickBot="1" x14ac:dyDescent="0.3">
      <c r="A163"/>
      <c r="B163" s="10" t="s">
        <v>178</v>
      </c>
      <c r="C163" s="42" t="str">
        <f>+IF($C$5=0,"",'4. '!B120)</f>
        <v/>
      </c>
      <c r="D163" s="42" t="str">
        <f>+IF($D$5=0,"",'4. '!C120)</f>
        <v/>
      </c>
      <c r="E163" s="42" t="str">
        <f>+IF($E$5=0,"",'4. '!D120)</f>
        <v/>
      </c>
      <c r="F163" s="42" t="str">
        <f>+IF($F$5=0,"",'4. '!E120)</f>
        <v/>
      </c>
      <c r="G163" s="42" t="str">
        <f>+IF($G$5=0,"",'4. '!F120)</f>
        <v/>
      </c>
      <c r="H163" s="42" t="str">
        <f>+IF($H$5=0,"",'4. '!G120)</f>
        <v/>
      </c>
      <c r="I163" s="42" t="str">
        <f>+IF($I$5=0,"",'4. '!H120)</f>
        <v/>
      </c>
      <c r="J163" s="42" t="str">
        <f>+IF($J$5=0,"",'4. '!I120)</f>
        <v/>
      </c>
      <c r="K163" s="42" t="str">
        <f>+IF($K$5=0,"",'4. '!J120)</f>
        <v/>
      </c>
      <c r="L163" s="42" t="str">
        <f>+IF($L$5=0,"",'4. '!K120)</f>
        <v/>
      </c>
      <c r="M163" s="42" t="str">
        <f>+IF($M$5=0,"",'4. '!L120)</f>
        <v/>
      </c>
      <c r="N163" s="42" t="str">
        <f>+IF($N$5=0,"",'4. '!M120)</f>
        <v/>
      </c>
      <c r="O163" s="42" t="str">
        <f>+IF($O$5=0,"",'4. '!N120)</f>
        <v/>
      </c>
      <c r="P163" s="42" t="str">
        <f>+IF($P$5=0,"",'4. '!O120)</f>
        <v/>
      </c>
      <c r="Q163" s="42" t="str">
        <f>+IF($Q$5=0,"",'4. '!P120)</f>
        <v/>
      </c>
      <c r="R163" s="42" t="str">
        <f>+IF($R$5=0,"",'4. '!Q120)</f>
        <v/>
      </c>
      <c r="S163" s="42" t="str">
        <f>+IF($S$5=0,"",'4. '!R120)</f>
        <v/>
      </c>
      <c r="T163" s="42" t="str">
        <f>+IF($T$5=0,"",'4. '!S120)</f>
        <v/>
      </c>
      <c r="U163" s="42" t="str">
        <f>+IF($U$5=0,"",'4. '!T120)</f>
        <v/>
      </c>
      <c r="V163" s="42" t="str">
        <f>+IF($V$5=0,"",'4. '!U120)</f>
        <v/>
      </c>
      <c r="W163" s="42" t="str">
        <f>+IF($W$5=0,"",'4. '!V120)</f>
        <v/>
      </c>
      <c r="X163" s="42" t="str">
        <f>+IF($X$5=0,"",'4. '!W120)</f>
        <v/>
      </c>
      <c r="Y163" s="42" t="str">
        <f>+IF($Y$5=0,"",'4. '!X120)</f>
        <v/>
      </c>
      <c r="Z163" s="42" t="str">
        <f>+IF($Z$5=0,"",'4. '!Y120)</f>
        <v/>
      </c>
      <c r="AA163" s="42" t="str">
        <f>+IF($AA$5=0,"",'4. '!Z120)</f>
        <v/>
      </c>
      <c r="AB163" s="42" t="str">
        <f>+IF($AB$5=0,"",'4. '!AA120)</f>
        <v/>
      </c>
      <c r="AC163" s="42" t="str">
        <f>+IF($AC$5=0,"",'4. '!AB120)</f>
        <v/>
      </c>
      <c r="AD163" s="42" t="str">
        <f>+IF($AD$5=0,"",'4. '!AC120)</f>
        <v/>
      </c>
      <c r="AE163" s="42" t="str">
        <f>+IF($AE$5=0,"",'4. '!AD120)</f>
        <v/>
      </c>
      <c r="AF163" s="42" t="str">
        <f>+IF($AF$5=0,"",'4. '!AE120)</f>
        <v/>
      </c>
      <c r="AG163" s="50" t="e">
        <f t="shared" si="3"/>
        <v>#DIV/0!</v>
      </c>
      <c r="AH163" s="6"/>
      <c r="AI163"/>
      <c r="AJ163"/>
    </row>
    <row r="164" spans="1:36" s="1" customFormat="1" ht="15.75" thickBot="1" x14ac:dyDescent="0.3">
      <c r="A164"/>
      <c r="B164" s="11" t="s">
        <v>78</v>
      </c>
      <c r="C164" s="42" t="str">
        <f>+IF($C$5=0,"",'4. '!B32)</f>
        <v/>
      </c>
      <c r="D164" s="42" t="str">
        <f>+IF($D$5=0,"",'4. '!C32)</f>
        <v/>
      </c>
      <c r="E164" s="42" t="str">
        <f>+IF($E$5=0,"",'4. '!D32)</f>
        <v/>
      </c>
      <c r="F164" s="42" t="str">
        <f>+IF($F$5=0,"",'4. '!E32)</f>
        <v/>
      </c>
      <c r="G164" s="42" t="str">
        <f>+IF($G$5=0,"",'4. '!F32)</f>
        <v/>
      </c>
      <c r="H164" s="42" t="str">
        <f>+IF($H$5=0,"",'4. '!G32)</f>
        <v/>
      </c>
      <c r="I164" s="42" t="str">
        <f>+IF($I$5=0,"",'4. '!H32)</f>
        <v/>
      </c>
      <c r="J164" s="42" t="str">
        <f>+IF($J$5=0,"",'4. '!I32)</f>
        <v/>
      </c>
      <c r="K164" s="42" t="str">
        <f>+IF($K$5=0,"",'4. '!J32)</f>
        <v/>
      </c>
      <c r="L164" s="42" t="str">
        <f>+IF($L$5=0,"",'4. '!K32)</f>
        <v/>
      </c>
      <c r="M164" s="42" t="str">
        <f>+IF($M$5=0,"",'4. '!L32)</f>
        <v/>
      </c>
      <c r="N164" s="42" t="str">
        <f>+IF($N$5=0,"",'4. '!M32)</f>
        <v/>
      </c>
      <c r="O164" s="42" t="str">
        <f>+IF($O$5=0,"",'4. '!N32)</f>
        <v/>
      </c>
      <c r="P164" s="42" t="str">
        <f>+IF($P$5=0,"",'4. '!O32)</f>
        <v/>
      </c>
      <c r="Q164" s="42" t="str">
        <f>+IF($Q$5=0,"",'4. '!P32)</f>
        <v/>
      </c>
      <c r="R164" s="42" t="str">
        <f>+IF($R$5=0,"",'4. '!Q32)</f>
        <v/>
      </c>
      <c r="S164" s="42" t="str">
        <f>+IF($S$5=0,"",'4. '!R32)</f>
        <v/>
      </c>
      <c r="T164" s="42" t="str">
        <f>+IF($T$5=0,"",'4. '!S32)</f>
        <v/>
      </c>
      <c r="U164" s="42" t="str">
        <f>+IF($U$5=0,"",'4. '!T32)</f>
        <v/>
      </c>
      <c r="V164" s="42" t="str">
        <f>+IF($V$5=0,"",'4. '!U32)</f>
        <v/>
      </c>
      <c r="W164" s="42" t="str">
        <f>+IF($W$5=0,"",'4. '!V32)</f>
        <v/>
      </c>
      <c r="X164" s="42" t="str">
        <f>+IF($X$5=0,"",'4. '!W32)</f>
        <v/>
      </c>
      <c r="Y164" s="42" t="str">
        <f>+IF($Y$5=0,"",'4. '!X32)</f>
        <v/>
      </c>
      <c r="Z164" s="42" t="str">
        <f>+IF($Z$5=0,"",'4. '!Y32)</f>
        <v/>
      </c>
      <c r="AA164" s="42" t="str">
        <f>+IF($AA$5=0,"",'4. '!Z32)</f>
        <v/>
      </c>
      <c r="AB164" s="42" t="str">
        <f>+IF($AB$5=0,"",'4. '!AA32)</f>
        <v/>
      </c>
      <c r="AC164" s="42" t="str">
        <f>+IF($AC$5=0,"",'4. '!AB32)</f>
        <v/>
      </c>
      <c r="AD164" s="42" t="str">
        <f>+IF($AD$5=0,"",'4. '!AC32)</f>
        <v/>
      </c>
      <c r="AE164" s="42" t="str">
        <f>+IF($AE$5=0,"",'4. '!AD32)</f>
        <v/>
      </c>
      <c r="AF164" s="42" t="str">
        <f>+IF($AF$5=0,"",'4. '!AE32)</f>
        <v/>
      </c>
      <c r="AG164" s="50" t="e">
        <f t="shared" si="3"/>
        <v>#DIV/0!</v>
      </c>
      <c r="AH164" s="6"/>
      <c r="AI164"/>
      <c r="AJ164"/>
    </row>
    <row r="165" spans="1:36" s="1" customFormat="1" ht="15.75" thickBot="1" x14ac:dyDescent="0.3">
      <c r="A165"/>
      <c r="B165" s="10" t="s">
        <v>175</v>
      </c>
      <c r="C165" s="42" t="str">
        <f>+IF($C$5=0,"",'4. '!B117)</f>
        <v/>
      </c>
      <c r="D165" s="42" t="str">
        <f>+IF($D$5=0,"",'4. '!C117)</f>
        <v/>
      </c>
      <c r="E165" s="42" t="str">
        <f>+IF($E$5=0,"",'4. '!D117)</f>
        <v/>
      </c>
      <c r="F165" s="42" t="str">
        <f>+IF($F$5=0,"",'4. '!E117)</f>
        <v/>
      </c>
      <c r="G165" s="42" t="str">
        <f>+IF($G$5=0,"",'4. '!F117)</f>
        <v/>
      </c>
      <c r="H165" s="42" t="str">
        <f>+IF($H$5=0,"",'4. '!G117)</f>
        <v/>
      </c>
      <c r="I165" s="42" t="str">
        <f>+IF($I$5=0,"",'4. '!H117)</f>
        <v/>
      </c>
      <c r="J165" s="42" t="str">
        <f>+IF($J$5=0,"",'4. '!I117)</f>
        <v/>
      </c>
      <c r="K165" s="42" t="str">
        <f>+IF($K$5=0,"",'4. '!J117)</f>
        <v/>
      </c>
      <c r="L165" s="42" t="str">
        <f>+IF($L$5=0,"",'4. '!K117)</f>
        <v/>
      </c>
      <c r="M165" s="42" t="str">
        <f>+IF($M$5=0,"",'4. '!L117)</f>
        <v/>
      </c>
      <c r="N165" s="42" t="str">
        <f>+IF($N$5=0,"",'4. '!M117)</f>
        <v/>
      </c>
      <c r="O165" s="42" t="str">
        <f>+IF($O$5=0,"",'4. '!N117)</f>
        <v/>
      </c>
      <c r="P165" s="42" t="str">
        <f>+IF($P$5=0,"",'4. '!O117)</f>
        <v/>
      </c>
      <c r="Q165" s="42" t="str">
        <f>+IF($Q$5=0,"",'4. '!P117)</f>
        <v/>
      </c>
      <c r="R165" s="42" t="str">
        <f>+IF($R$5=0,"",'4. '!Q117)</f>
        <v/>
      </c>
      <c r="S165" s="42" t="str">
        <f>+IF($S$5=0,"",'4. '!R117)</f>
        <v/>
      </c>
      <c r="T165" s="42" t="str">
        <f>+IF($T$5=0,"",'4. '!S117)</f>
        <v/>
      </c>
      <c r="U165" s="42" t="str">
        <f>+IF($U$5=0,"",'4. '!T117)</f>
        <v/>
      </c>
      <c r="V165" s="42" t="str">
        <f>+IF($V$5=0,"",'4. '!U117)</f>
        <v/>
      </c>
      <c r="W165" s="42" t="str">
        <f>+IF($W$5=0,"",'4. '!V117)</f>
        <v/>
      </c>
      <c r="X165" s="42" t="str">
        <f>+IF($X$5=0,"",'4. '!W117)</f>
        <v/>
      </c>
      <c r="Y165" s="42" t="str">
        <f>+IF($Y$5=0,"",'4. '!X117)</f>
        <v/>
      </c>
      <c r="Z165" s="42" t="str">
        <f>+IF($Z$5=0,"",'4. '!Y117)</f>
        <v/>
      </c>
      <c r="AA165" s="42" t="str">
        <f>+IF($AA$5=0,"",'4. '!Z117)</f>
        <v/>
      </c>
      <c r="AB165" s="42" t="str">
        <f>+IF($AB$5=0,"",'4. '!AA117)</f>
        <v/>
      </c>
      <c r="AC165" s="42" t="str">
        <f>+IF($AC$5=0,"",'4. '!AB117)</f>
        <v/>
      </c>
      <c r="AD165" s="42" t="str">
        <f>+IF($AD$5=0,"",'4. '!AC117)</f>
        <v/>
      </c>
      <c r="AE165" s="42" t="str">
        <f>+IF($AE$5=0,"",'4. '!AD117)</f>
        <v/>
      </c>
      <c r="AF165" s="42" t="str">
        <f>+IF($AF$5=0,"",'4. '!AE117)</f>
        <v/>
      </c>
      <c r="AG165" s="50" t="e">
        <f t="shared" si="3"/>
        <v>#DIV/0!</v>
      </c>
      <c r="AH165" s="6"/>
      <c r="AI165"/>
      <c r="AJ165"/>
    </row>
    <row r="166" spans="1:36" s="1" customFormat="1" ht="15.75" thickBot="1" x14ac:dyDescent="0.3">
      <c r="A166"/>
      <c r="B166" s="11" t="s">
        <v>80</v>
      </c>
      <c r="C166" s="42" t="str">
        <f>+IF($C$5=0,"",'4. '!B34)</f>
        <v/>
      </c>
      <c r="D166" s="42" t="str">
        <f>+IF($D$5=0,"",'4. '!C34)</f>
        <v/>
      </c>
      <c r="E166" s="42" t="str">
        <f>+IF($E$5=0,"",'4. '!D34)</f>
        <v/>
      </c>
      <c r="F166" s="42" t="str">
        <f>+IF($F$5=0,"",'4. '!E34)</f>
        <v/>
      </c>
      <c r="G166" s="42" t="str">
        <f>+IF($G$5=0,"",'4. '!F34)</f>
        <v/>
      </c>
      <c r="H166" s="42" t="str">
        <f>+IF($H$5=0,"",'4. '!G34)</f>
        <v/>
      </c>
      <c r="I166" s="42" t="str">
        <f>+IF($I$5=0,"",'4. '!H34)</f>
        <v/>
      </c>
      <c r="J166" s="42" t="str">
        <f>+IF($J$5=0,"",'4. '!I34)</f>
        <v/>
      </c>
      <c r="K166" s="42" t="str">
        <f>+IF($K$5=0,"",'4. '!J34)</f>
        <v/>
      </c>
      <c r="L166" s="42" t="str">
        <f>+IF($L$5=0,"",'4. '!K34)</f>
        <v/>
      </c>
      <c r="M166" s="42" t="str">
        <f>+IF($M$5=0,"",'4. '!L34)</f>
        <v/>
      </c>
      <c r="N166" s="42" t="str">
        <f>+IF($N$5=0,"",'4. '!M34)</f>
        <v/>
      </c>
      <c r="O166" s="42" t="str">
        <f>+IF($O$5=0,"",'4. '!N34)</f>
        <v/>
      </c>
      <c r="P166" s="42" t="str">
        <f>+IF($P$5=0,"",'4. '!O34)</f>
        <v/>
      </c>
      <c r="Q166" s="42" t="str">
        <f>+IF($Q$5=0,"",'4. '!P34)</f>
        <v/>
      </c>
      <c r="R166" s="42" t="str">
        <f>+IF($R$5=0,"",'4. '!Q34)</f>
        <v/>
      </c>
      <c r="S166" s="42" t="str">
        <f>+IF($S$5=0,"",'4. '!R34)</f>
        <v/>
      </c>
      <c r="T166" s="42" t="str">
        <f>+IF($T$5=0,"",'4. '!S34)</f>
        <v/>
      </c>
      <c r="U166" s="42" t="str">
        <f>+IF($U$5=0,"",'4. '!T34)</f>
        <v/>
      </c>
      <c r="V166" s="42" t="str">
        <f>+IF($V$5=0,"",'4. '!U34)</f>
        <v/>
      </c>
      <c r="W166" s="42" t="str">
        <f>+IF($W$5=0,"",'4. '!V34)</f>
        <v/>
      </c>
      <c r="X166" s="42" t="str">
        <f>+IF($X$5=0,"",'4. '!W34)</f>
        <v/>
      </c>
      <c r="Y166" s="42" t="str">
        <f>+IF($Y$5=0,"",'4. '!X34)</f>
        <v/>
      </c>
      <c r="Z166" s="42" t="str">
        <f>+IF($Z$5=0,"",'4. '!Y34)</f>
        <v/>
      </c>
      <c r="AA166" s="42" t="str">
        <f>+IF($AA$5=0,"",'4. '!Z34)</f>
        <v/>
      </c>
      <c r="AB166" s="42" t="str">
        <f>+IF($AB$5=0,"",'4. '!AA34)</f>
        <v/>
      </c>
      <c r="AC166" s="42" t="str">
        <f>+IF($AC$5=0,"",'4. '!AB34)</f>
        <v/>
      </c>
      <c r="AD166" s="42" t="str">
        <f>+IF($AD$5=0,"",'4. '!AC34)</f>
        <v/>
      </c>
      <c r="AE166" s="42" t="str">
        <f>+IF($AE$5=0,"",'4. '!AD34)</f>
        <v/>
      </c>
      <c r="AF166" s="42" t="str">
        <f>+IF($AF$5=0,"",'4. '!AE34)</f>
        <v/>
      </c>
      <c r="AG166" s="50" t="e">
        <f t="shared" si="3"/>
        <v>#DIV/0!</v>
      </c>
      <c r="AH166" s="6"/>
      <c r="AI166"/>
      <c r="AJ166"/>
    </row>
    <row r="167" spans="1:36" s="1" customFormat="1" ht="15.75" thickBot="1" x14ac:dyDescent="0.3">
      <c r="A167"/>
      <c r="B167" s="10" t="s">
        <v>85</v>
      </c>
      <c r="C167" s="42" t="str">
        <f>+IF($C$5=0,"",'4. '!B39)</f>
        <v/>
      </c>
      <c r="D167" s="42" t="str">
        <f>+IF($D$5=0,"",'4. '!C39)</f>
        <v/>
      </c>
      <c r="E167" s="42" t="str">
        <f>+IF($E$5=0,"",'4. '!D39)</f>
        <v/>
      </c>
      <c r="F167" s="42" t="str">
        <f>+IF($F$5=0,"",'4. '!E39)</f>
        <v/>
      </c>
      <c r="G167" s="42" t="str">
        <f>+IF($G$5=0,"",'4. '!F39)</f>
        <v/>
      </c>
      <c r="H167" s="42" t="str">
        <f>+IF($H$5=0,"",'4. '!G39)</f>
        <v/>
      </c>
      <c r="I167" s="42" t="str">
        <f>+IF($I$5=0,"",'4. '!H39)</f>
        <v/>
      </c>
      <c r="J167" s="42" t="str">
        <f>+IF($J$5=0,"",'4. '!I39)</f>
        <v/>
      </c>
      <c r="K167" s="42" t="str">
        <f>+IF($K$5=0,"",'4. '!J39)</f>
        <v/>
      </c>
      <c r="L167" s="42" t="str">
        <f>+IF($L$5=0,"",'4. '!K39)</f>
        <v/>
      </c>
      <c r="M167" s="42" t="str">
        <f>+IF($M$5=0,"",'4. '!L39)</f>
        <v/>
      </c>
      <c r="N167" s="42" t="str">
        <f>+IF($N$5=0,"",'4. '!M39)</f>
        <v/>
      </c>
      <c r="O167" s="42" t="str">
        <f>+IF($O$5=0,"",'4. '!N39)</f>
        <v/>
      </c>
      <c r="P167" s="42" t="str">
        <f>+IF($P$5=0,"",'4. '!O39)</f>
        <v/>
      </c>
      <c r="Q167" s="42" t="str">
        <f>+IF($Q$5=0,"",'4. '!P39)</f>
        <v/>
      </c>
      <c r="R167" s="42" t="str">
        <f>+IF($R$5=0,"",'4. '!Q39)</f>
        <v/>
      </c>
      <c r="S167" s="42" t="str">
        <f>+IF($S$5=0,"",'4. '!R39)</f>
        <v/>
      </c>
      <c r="T167" s="42" t="str">
        <f>+IF($T$5=0,"",'4. '!S39)</f>
        <v/>
      </c>
      <c r="U167" s="42" t="str">
        <f>+IF($U$5=0,"",'4. '!T39)</f>
        <v/>
      </c>
      <c r="V167" s="42" t="str">
        <f>+IF($V$5=0,"",'4. '!U39)</f>
        <v/>
      </c>
      <c r="W167" s="42" t="str">
        <f>+IF($W$5=0,"",'4. '!V39)</f>
        <v/>
      </c>
      <c r="X167" s="42" t="str">
        <f>+IF($X$5=0,"",'4. '!W39)</f>
        <v/>
      </c>
      <c r="Y167" s="42" t="str">
        <f>+IF($Y$5=0,"",'4. '!X39)</f>
        <v/>
      </c>
      <c r="Z167" s="42" t="str">
        <f>+IF($Z$5=0,"",'4. '!Y39)</f>
        <v/>
      </c>
      <c r="AA167" s="42" t="str">
        <f>+IF($AA$5=0,"",'4. '!Z39)</f>
        <v/>
      </c>
      <c r="AB167" s="42" t="str">
        <f>+IF($AB$5=0,"",'4. '!AA39)</f>
        <v/>
      </c>
      <c r="AC167" s="42" t="str">
        <f>+IF($AC$5=0,"",'4. '!AB39)</f>
        <v/>
      </c>
      <c r="AD167" s="42" t="str">
        <f>+IF($AD$5=0,"",'4. '!AC39)</f>
        <v/>
      </c>
      <c r="AE167" s="42" t="str">
        <f>+IF($AE$5=0,"",'4. '!AD39)</f>
        <v/>
      </c>
      <c r="AF167" s="42" t="str">
        <f>+IF($AF$5=0,"",'4. '!AE39)</f>
        <v/>
      </c>
      <c r="AG167" s="50" t="e">
        <f t="shared" si="3"/>
        <v>#DIV/0!</v>
      </c>
      <c r="AH167" s="6"/>
      <c r="AI167"/>
      <c r="AJ167"/>
    </row>
    <row r="168" spans="1:36" s="1" customFormat="1" ht="15.75" thickBot="1" x14ac:dyDescent="0.3">
      <c r="A168"/>
      <c r="B168" s="11" t="s">
        <v>82</v>
      </c>
      <c r="C168" s="42" t="str">
        <f>+IF($C$5=0,"",'4. '!B36)</f>
        <v/>
      </c>
      <c r="D168" s="42" t="str">
        <f>+IF($D$5=0,"",'4. '!C36)</f>
        <v/>
      </c>
      <c r="E168" s="42" t="str">
        <f>+IF($E$5=0,"",'4. '!D36)</f>
        <v/>
      </c>
      <c r="F168" s="42" t="str">
        <f>+IF($F$5=0,"",'4. '!E36)</f>
        <v/>
      </c>
      <c r="G168" s="42" t="str">
        <f>+IF($G$5=0,"",'4. '!F36)</f>
        <v/>
      </c>
      <c r="H168" s="42" t="str">
        <f>+IF($H$5=0,"",'4. '!G36)</f>
        <v/>
      </c>
      <c r="I168" s="42" t="str">
        <f>+IF($I$5=0,"",'4. '!H36)</f>
        <v/>
      </c>
      <c r="J168" s="42" t="str">
        <f>+IF($J$5=0,"",'4. '!I36)</f>
        <v/>
      </c>
      <c r="K168" s="42" t="str">
        <f>+IF($K$5=0,"",'4. '!J36)</f>
        <v/>
      </c>
      <c r="L168" s="42" t="str">
        <f>+IF($L$5=0,"",'4. '!K36)</f>
        <v/>
      </c>
      <c r="M168" s="42" t="str">
        <f>+IF($M$5=0,"",'4. '!L36)</f>
        <v/>
      </c>
      <c r="N168" s="42" t="str">
        <f>+IF($N$5=0,"",'4. '!M36)</f>
        <v/>
      </c>
      <c r="O168" s="42" t="str">
        <f>+IF($O$5=0,"",'4. '!N36)</f>
        <v/>
      </c>
      <c r="P168" s="42" t="str">
        <f>+IF($P$5=0,"",'4. '!O36)</f>
        <v/>
      </c>
      <c r="Q168" s="42" t="str">
        <f>+IF($Q$5=0,"",'4. '!P36)</f>
        <v/>
      </c>
      <c r="R168" s="42" t="str">
        <f>+IF($R$5=0,"",'4. '!Q36)</f>
        <v/>
      </c>
      <c r="S168" s="42" t="str">
        <f>+IF($S$5=0,"",'4. '!R36)</f>
        <v/>
      </c>
      <c r="T168" s="42" t="str">
        <f>+IF($T$5=0,"",'4. '!S36)</f>
        <v/>
      </c>
      <c r="U168" s="42" t="str">
        <f>+IF($U$5=0,"",'4. '!T36)</f>
        <v/>
      </c>
      <c r="V168" s="42" t="str">
        <f>+IF($V$5=0,"",'4. '!U36)</f>
        <v/>
      </c>
      <c r="W168" s="42" t="str">
        <f>+IF($W$5=0,"",'4. '!V36)</f>
        <v/>
      </c>
      <c r="X168" s="42" t="str">
        <f>+IF($X$5=0,"",'4. '!W36)</f>
        <v/>
      </c>
      <c r="Y168" s="42" t="str">
        <f>+IF($Y$5=0,"",'4. '!X36)</f>
        <v/>
      </c>
      <c r="Z168" s="42" t="str">
        <f>+IF($Z$5=0,"",'4. '!Y36)</f>
        <v/>
      </c>
      <c r="AA168" s="42" t="str">
        <f>+IF($AA$5=0,"",'4. '!Z36)</f>
        <v/>
      </c>
      <c r="AB168" s="42" t="str">
        <f>+IF($AB$5=0,"",'4. '!AA36)</f>
        <v/>
      </c>
      <c r="AC168" s="42" t="str">
        <f>+IF($AC$5=0,"",'4. '!AB36)</f>
        <v/>
      </c>
      <c r="AD168" s="42" t="str">
        <f>+IF($AD$5=0,"",'4. '!AC36)</f>
        <v/>
      </c>
      <c r="AE168" s="42" t="str">
        <f>+IF($AE$5=0,"",'4. '!AD36)</f>
        <v/>
      </c>
      <c r="AF168" s="42" t="str">
        <f>+IF($AF$5=0,"",'4. '!AE36)</f>
        <v/>
      </c>
      <c r="AG168" s="50" t="e">
        <f t="shared" si="3"/>
        <v>#DIV/0!</v>
      </c>
      <c r="AH168" s="6"/>
      <c r="AI168"/>
      <c r="AJ168"/>
    </row>
    <row r="169" spans="1:36" s="1" customFormat="1" ht="15.75" thickBot="1" x14ac:dyDescent="0.3">
      <c r="A169"/>
      <c r="B169" s="10" t="s">
        <v>153</v>
      </c>
      <c r="C169" s="42" t="str">
        <f>+IF($C$5=0,"",'4. '!B95)</f>
        <v/>
      </c>
      <c r="D169" s="42" t="str">
        <f>+IF($D$5=0,"",'4. '!C95)</f>
        <v/>
      </c>
      <c r="E169" s="42" t="str">
        <f>+IF($E$5=0,"",'4. '!D95)</f>
        <v/>
      </c>
      <c r="F169" s="42" t="str">
        <f>+IF($F$5=0,"",'4. '!E95)</f>
        <v/>
      </c>
      <c r="G169" s="42" t="str">
        <f>+IF($G$5=0,"",'4. '!F95)</f>
        <v/>
      </c>
      <c r="H169" s="42" t="str">
        <f>+IF($H$5=0,"",'4. '!G95)</f>
        <v/>
      </c>
      <c r="I169" s="42" t="str">
        <f>+IF($I$5=0,"",'4. '!H95)</f>
        <v/>
      </c>
      <c r="J169" s="42" t="str">
        <f>+IF($J$5=0,"",'4. '!I95)</f>
        <v/>
      </c>
      <c r="K169" s="42" t="str">
        <f>+IF($K$5=0,"",'4. '!J95)</f>
        <v/>
      </c>
      <c r="L169" s="42" t="str">
        <f>+IF($L$5=0,"",'4. '!K95)</f>
        <v/>
      </c>
      <c r="M169" s="42" t="str">
        <f>+IF($M$5=0,"",'4. '!L95)</f>
        <v/>
      </c>
      <c r="N169" s="42" t="str">
        <f>+IF($N$5=0,"",'4. '!M95)</f>
        <v/>
      </c>
      <c r="O169" s="42" t="str">
        <f>+IF($O$5=0,"",'4. '!N95)</f>
        <v/>
      </c>
      <c r="P169" s="42" t="str">
        <f>+IF($P$5=0,"",'4. '!O95)</f>
        <v/>
      </c>
      <c r="Q169" s="42" t="str">
        <f>+IF($Q$5=0,"",'4. '!P95)</f>
        <v/>
      </c>
      <c r="R169" s="42" t="str">
        <f>+IF($R$5=0,"",'4. '!Q95)</f>
        <v/>
      </c>
      <c r="S169" s="42" t="str">
        <f>+IF($S$5=0,"",'4. '!R95)</f>
        <v/>
      </c>
      <c r="T169" s="42" t="str">
        <f>+IF($T$5=0,"",'4. '!S95)</f>
        <v/>
      </c>
      <c r="U169" s="42" t="str">
        <f>+IF($U$5=0,"",'4. '!T95)</f>
        <v/>
      </c>
      <c r="V169" s="42" t="str">
        <f>+IF($V$5=0,"",'4. '!U95)</f>
        <v/>
      </c>
      <c r="W169" s="42" t="str">
        <f>+IF($W$5=0,"",'4. '!V95)</f>
        <v/>
      </c>
      <c r="X169" s="42" t="str">
        <f>+IF($X$5=0,"",'4. '!W95)</f>
        <v/>
      </c>
      <c r="Y169" s="42" t="str">
        <f>+IF($Y$5=0,"",'4. '!X95)</f>
        <v/>
      </c>
      <c r="Z169" s="42" t="str">
        <f>+IF($Z$5=0,"",'4. '!Y95)</f>
        <v/>
      </c>
      <c r="AA169" s="42" t="str">
        <f>+IF($AA$5=0,"",'4. '!Z95)</f>
        <v/>
      </c>
      <c r="AB169" s="42" t="str">
        <f>+IF($AB$5=0,"",'4. '!AA95)</f>
        <v/>
      </c>
      <c r="AC169" s="42" t="str">
        <f>+IF($AC$5=0,"",'4. '!AB95)</f>
        <v/>
      </c>
      <c r="AD169" s="42" t="str">
        <f>+IF($AD$5=0,"",'4. '!AC95)</f>
        <v/>
      </c>
      <c r="AE169" s="42" t="str">
        <f>+IF($AE$5=0,"",'4. '!AD95)</f>
        <v/>
      </c>
      <c r="AF169" s="42" t="str">
        <f>+IF($AF$5=0,"",'4. '!AE95)</f>
        <v/>
      </c>
      <c r="AG169" s="50" t="e">
        <f t="shared" si="3"/>
        <v>#DIV/0!</v>
      </c>
      <c r="AH169" s="6"/>
      <c r="AI169"/>
      <c r="AJ169"/>
    </row>
    <row r="170" spans="1:36" s="1" customFormat="1" ht="15.75" thickBot="1" x14ac:dyDescent="0.3">
      <c r="A170"/>
      <c r="B170" s="11" t="s">
        <v>155</v>
      </c>
      <c r="C170" s="42" t="str">
        <f>+IF($C$5=0,"",'4. '!B97)</f>
        <v/>
      </c>
      <c r="D170" s="42" t="str">
        <f>+IF($D$5=0,"",'4. '!C97)</f>
        <v/>
      </c>
      <c r="E170" s="42" t="str">
        <f>+IF($E$5=0,"",'4. '!D97)</f>
        <v/>
      </c>
      <c r="F170" s="42" t="str">
        <f>+IF($F$5=0,"",'4. '!E97)</f>
        <v/>
      </c>
      <c r="G170" s="42" t="str">
        <f>+IF($G$5=0,"",'4. '!F97)</f>
        <v/>
      </c>
      <c r="H170" s="42" t="str">
        <f>+IF($H$5=0,"",'4. '!G97)</f>
        <v/>
      </c>
      <c r="I170" s="42" t="str">
        <f>+IF($I$5=0,"",'4. '!H97)</f>
        <v/>
      </c>
      <c r="J170" s="42" t="str">
        <f>+IF($J$5=0,"",'4. '!I97)</f>
        <v/>
      </c>
      <c r="K170" s="42" t="str">
        <f>+IF($K$5=0,"",'4. '!J97)</f>
        <v/>
      </c>
      <c r="L170" s="42" t="str">
        <f>+IF($L$5=0,"",'4. '!K97)</f>
        <v/>
      </c>
      <c r="M170" s="42" t="str">
        <f>+IF($M$5=0,"",'4. '!L97)</f>
        <v/>
      </c>
      <c r="N170" s="42" t="str">
        <f>+IF($N$5=0,"",'4. '!M97)</f>
        <v/>
      </c>
      <c r="O170" s="42" t="str">
        <f>+IF($O$5=0,"",'4. '!N97)</f>
        <v/>
      </c>
      <c r="P170" s="42" t="str">
        <f>+IF($P$5=0,"",'4. '!O97)</f>
        <v/>
      </c>
      <c r="Q170" s="42" t="str">
        <f>+IF($Q$5=0,"",'4. '!P97)</f>
        <v/>
      </c>
      <c r="R170" s="42" t="str">
        <f>+IF($R$5=0,"",'4. '!Q97)</f>
        <v/>
      </c>
      <c r="S170" s="42" t="str">
        <f>+IF($S$5=0,"",'4. '!R97)</f>
        <v/>
      </c>
      <c r="T170" s="42" t="str">
        <f>+IF($T$5=0,"",'4. '!S97)</f>
        <v/>
      </c>
      <c r="U170" s="42" t="str">
        <f>+IF($U$5=0,"",'4. '!T97)</f>
        <v/>
      </c>
      <c r="V170" s="42" t="str">
        <f>+IF($V$5=0,"",'4. '!U97)</f>
        <v/>
      </c>
      <c r="W170" s="42" t="str">
        <f>+IF($W$5=0,"",'4. '!V97)</f>
        <v/>
      </c>
      <c r="X170" s="42" t="str">
        <f>+IF($X$5=0,"",'4. '!W97)</f>
        <v/>
      </c>
      <c r="Y170" s="42" t="str">
        <f>+IF($Y$5=0,"",'4. '!X97)</f>
        <v/>
      </c>
      <c r="Z170" s="42" t="str">
        <f>+IF($Z$5=0,"",'4. '!Y97)</f>
        <v/>
      </c>
      <c r="AA170" s="42" t="str">
        <f>+IF($AA$5=0,"",'4. '!Z97)</f>
        <v/>
      </c>
      <c r="AB170" s="42" t="str">
        <f>+IF($AB$5=0,"",'4. '!AA97)</f>
        <v/>
      </c>
      <c r="AC170" s="42" t="str">
        <f>+IF($AC$5=0,"",'4. '!AB97)</f>
        <v/>
      </c>
      <c r="AD170" s="42" t="str">
        <f>+IF($AD$5=0,"",'4. '!AC97)</f>
        <v/>
      </c>
      <c r="AE170" s="42" t="str">
        <f>+IF($AE$5=0,"",'4. '!AD97)</f>
        <v/>
      </c>
      <c r="AF170" s="42" t="str">
        <f>+IF($AF$5=0,"",'4. '!AE97)</f>
        <v/>
      </c>
      <c r="AG170" s="50" t="e">
        <f t="shared" si="3"/>
        <v>#DIV/0!</v>
      </c>
      <c r="AH170" s="6"/>
      <c r="AI170"/>
      <c r="AJ170"/>
    </row>
    <row r="171" spans="1:36" s="1" customFormat="1" ht="15.75" thickBot="1" x14ac:dyDescent="0.3">
      <c r="A171"/>
      <c r="B171" s="10" t="s">
        <v>160</v>
      </c>
      <c r="C171" s="42" t="str">
        <f>+IF($C$5=0,"",'4. '!B102)</f>
        <v/>
      </c>
      <c r="D171" s="42" t="str">
        <f>+IF($D$5=0,"",'4. '!C102)</f>
        <v/>
      </c>
      <c r="E171" s="42" t="str">
        <f>+IF($E$5=0,"",'4. '!D102)</f>
        <v/>
      </c>
      <c r="F171" s="42" t="str">
        <f>+IF($F$5=0,"",'4. '!E102)</f>
        <v/>
      </c>
      <c r="G171" s="42" t="str">
        <f>+IF($G$5=0,"",'4. '!F102)</f>
        <v/>
      </c>
      <c r="H171" s="42" t="str">
        <f>+IF($H$5=0,"",'4. '!G102)</f>
        <v/>
      </c>
      <c r="I171" s="42" t="str">
        <f>+IF($I$5=0,"",'4. '!H102)</f>
        <v/>
      </c>
      <c r="J171" s="42" t="str">
        <f>+IF($J$5=0,"",'4. '!I102)</f>
        <v/>
      </c>
      <c r="K171" s="42" t="str">
        <f>+IF($K$5=0,"",'4. '!J102)</f>
        <v/>
      </c>
      <c r="L171" s="42" t="str">
        <f>+IF($L$5=0,"",'4. '!K102)</f>
        <v/>
      </c>
      <c r="M171" s="42" t="str">
        <f>+IF($M$5=0,"",'4. '!L102)</f>
        <v/>
      </c>
      <c r="N171" s="42" t="str">
        <f>+IF($N$5=0,"",'4. '!M102)</f>
        <v/>
      </c>
      <c r="O171" s="42" t="str">
        <f>+IF($O$5=0,"",'4. '!N102)</f>
        <v/>
      </c>
      <c r="P171" s="42" t="str">
        <f>+IF($P$5=0,"",'4. '!O102)</f>
        <v/>
      </c>
      <c r="Q171" s="42" t="str">
        <f>+IF($Q$5=0,"",'4. '!P102)</f>
        <v/>
      </c>
      <c r="R171" s="42" t="str">
        <f>+IF($R$5=0,"",'4. '!Q102)</f>
        <v/>
      </c>
      <c r="S171" s="42" t="str">
        <f>+IF($S$5=0,"",'4. '!R102)</f>
        <v/>
      </c>
      <c r="T171" s="42" t="str">
        <f>+IF($T$5=0,"",'4. '!S102)</f>
        <v/>
      </c>
      <c r="U171" s="42" t="str">
        <f>+IF($U$5=0,"",'4. '!T102)</f>
        <v/>
      </c>
      <c r="V171" s="42" t="str">
        <f>+IF($V$5=0,"",'4. '!U102)</f>
        <v/>
      </c>
      <c r="W171" s="42" t="str">
        <f>+IF($W$5=0,"",'4. '!V102)</f>
        <v/>
      </c>
      <c r="X171" s="42" t="str">
        <f>+IF($X$5=0,"",'4. '!W102)</f>
        <v/>
      </c>
      <c r="Y171" s="42" t="str">
        <f>+IF($Y$5=0,"",'4. '!X102)</f>
        <v/>
      </c>
      <c r="Z171" s="42" t="str">
        <f>+IF($Z$5=0,"",'4. '!Y102)</f>
        <v/>
      </c>
      <c r="AA171" s="42" t="str">
        <f>+IF($AA$5=0,"",'4. '!Z102)</f>
        <v/>
      </c>
      <c r="AB171" s="42" t="str">
        <f>+IF($AB$5=0,"",'4. '!AA102)</f>
        <v/>
      </c>
      <c r="AC171" s="42" t="str">
        <f>+IF($AC$5=0,"",'4. '!AB102)</f>
        <v/>
      </c>
      <c r="AD171" s="42" t="str">
        <f>+IF($AD$5=0,"",'4. '!AC102)</f>
        <v/>
      </c>
      <c r="AE171" s="42" t="str">
        <f>+IF($AE$5=0,"",'4. '!AD102)</f>
        <v/>
      </c>
      <c r="AF171" s="42" t="str">
        <f>+IF($AF$5=0,"",'4. '!AE102)</f>
        <v/>
      </c>
      <c r="AG171" s="50" t="e">
        <f t="shared" si="3"/>
        <v>#DIV/0!</v>
      </c>
      <c r="AH171" s="6"/>
      <c r="AI171"/>
      <c r="AJ171"/>
    </row>
    <row r="172" spans="1:36" s="1" customFormat="1" ht="15.75" thickBot="1" x14ac:dyDescent="0.3">
      <c r="A172"/>
      <c r="B172" s="11" t="s">
        <v>59</v>
      </c>
      <c r="C172" s="42" t="str">
        <f>+IF($C$5=0,"",'4. '!B14)</f>
        <v/>
      </c>
      <c r="D172" s="42" t="str">
        <f>+IF($D$5=0,"",'4. '!C14)</f>
        <v/>
      </c>
      <c r="E172" s="42" t="str">
        <f>+IF($E$5=0,"",'4. '!D14)</f>
        <v/>
      </c>
      <c r="F172" s="42" t="str">
        <f>+IF($F$5=0,"",'4. '!E14)</f>
        <v/>
      </c>
      <c r="G172" s="42" t="str">
        <f>+IF($G$5=0,"",'4. '!F14)</f>
        <v/>
      </c>
      <c r="H172" s="42" t="str">
        <f>+IF($H$5=0,"",'4. '!G14)</f>
        <v/>
      </c>
      <c r="I172" s="42" t="str">
        <f>+IF($I$5=0,"",'4. '!H14)</f>
        <v/>
      </c>
      <c r="J172" s="42" t="str">
        <f>+IF($J$5=0,"",'4. '!I14)</f>
        <v/>
      </c>
      <c r="K172" s="42" t="str">
        <f>+IF($K$5=0,"",'4. '!J14)</f>
        <v/>
      </c>
      <c r="L172" s="42" t="str">
        <f>+IF($L$5=0,"",'4. '!K14)</f>
        <v/>
      </c>
      <c r="M172" s="42" t="str">
        <f>+IF($M$5=0,"",'4. '!L14)</f>
        <v/>
      </c>
      <c r="N172" s="42" t="str">
        <f>+IF($N$5=0,"",'4. '!M14)</f>
        <v/>
      </c>
      <c r="O172" s="42" t="str">
        <f>+IF($O$5=0,"",'4. '!N14)</f>
        <v/>
      </c>
      <c r="P172" s="42" t="str">
        <f>+IF($P$5=0,"",'4. '!O14)</f>
        <v/>
      </c>
      <c r="Q172" s="42" t="str">
        <f>+IF($Q$5=0,"",'4. '!P14)</f>
        <v/>
      </c>
      <c r="R172" s="42" t="str">
        <f>+IF($R$5=0,"",'4. '!Q14)</f>
        <v/>
      </c>
      <c r="S172" s="42" t="str">
        <f>+IF($S$5=0,"",'4. '!R14)</f>
        <v/>
      </c>
      <c r="T172" s="42" t="str">
        <f>+IF($T$5=0,"",'4. '!S14)</f>
        <v/>
      </c>
      <c r="U172" s="42" t="str">
        <f>+IF($U$5=0,"",'4. '!T14)</f>
        <v/>
      </c>
      <c r="V172" s="42" t="str">
        <f>+IF($V$5=0,"",'4. '!U14)</f>
        <v/>
      </c>
      <c r="W172" s="42" t="str">
        <f>+IF($W$5=0,"",'4. '!V14)</f>
        <v/>
      </c>
      <c r="X172" s="42" t="str">
        <f>+IF($X$5=0,"",'4. '!W14)</f>
        <v/>
      </c>
      <c r="Y172" s="42" t="str">
        <f>+IF($Y$5=0,"",'4. '!X14)</f>
        <v/>
      </c>
      <c r="Z172" s="42" t="str">
        <f>+IF($Z$5=0,"",'4. '!Y14)</f>
        <v/>
      </c>
      <c r="AA172" s="42" t="str">
        <f>+IF($AA$5=0,"",'4. '!Z14)</f>
        <v/>
      </c>
      <c r="AB172" s="42" t="str">
        <f>+IF($AB$5=0,"",'4. '!AA14)</f>
        <v/>
      </c>
      <c r="AC172" s="42" t="str">
        <f>+IF($AC$5=0,"",'4. '!AB14)</f>
        <v/>
      </c>
      <c r="AD172" s="42" t="str">
        <f>+IF($AD$5=0,"",'4. '!AC14)</f>
        <v/>
      </c>
      <c r="AE172" s="42" t="str">
        <f>+IF($AE$5=0,"",'4. '!AD14)</f>
        <v/>
      </c>
      <c r="AF172" s="42" t="str">
        <f>+IF($AF$5=0,"",'4. '!AE14)</f>
        <v/>
      </c>
      <c r="AG172" s="50" t="e">
        <f t="shared" si="3"/>
        <v>#DIV/0!</v>
      </c>
      <c r="AH172" s="6"/>
      <c r="AI172"/>
      <c r="AJ172"/>
    </row>
    <row r="173" spans="1:36" s="1" customFormat="1" ht="15.75" thickBot="1" x14ac:dyDescent="0.3">
      <c r="A173"/>
      <c r="B173" s="10" t="s">
        <v>157</v>
      </c>
      <c r="C173" s="42" t="str">
        <f>+IF($C$5=0,"",'4. '!B99)</f>
        <v/>
      </c>
      <c r="D173" s="42" t="str">
        <f>+IF($D$5=0,"",'4. '!C99)</f>
        <v/>
      </c>
      <c r="E173" s="42" t="str">
        <f>+IF($E$5=0,"",'4. '!D99)</f>
        <v/>
      </c>
      <c r="F173" s="42" t="str">
        <f>+IF($F$5=0,"",'4. '!E99)</f>
        <v/>
      </c>
      <c r="G173" s="42" t="str">
        <f>+IF($G$5=0,"",'4. '!F99)</f>
        <v/>
      </c>
      <c r="H173" s="42" t="str">
        <f>+IF($H$5=0,"",'4. '!G99)</f>
        <v/>
      </c>
      <c r="I173" s="42" t="str">
        <f>+IF($I$5=0,"",'4. '!H99)</f>
        <v/>
      </c>
      <c r="J173" s="42" t="str">
        <f>+IF($J$5=0,"",'4. '!I99)</f>
        <v/>
      </c>
      <c r="K173" s="42" t="str">
        <f>+IF($K$5=0,"",'4. '!J99)</f>
        <v/>
      </c>
      <c r="L173" s="42" t="str">
        <f>+IF($L$5=0,"",'4. '!K99)</f>
        <v/>
      </c>
      <c r="M173" s="42" t="str">
        <f>+IF($M$5=0,"",'4. '!L99)</f>
        <v/>
      </c>
      <c r="N173" s="42" t="str">
        <f>+IF($N$5=0,"",'4. '!M99)</f>
        <v/>
      </c>
      <c r="O173" s="42" t="str">
        <f>+IF($O$5=0,"",'4. '!N99)</f>
        <v/>
      </c>
      <c r="P173" s="42" t="str">
        <f>+IF($P$5=0,"",'4. '!O99)</f>
        <v/>
      </c>
      <c r="Q173" s="42" t="str">
        <f>+IF($Q$5=0,"",'4. '!P99)</f>
        <v/>
      </c>
      <c r="R173" s="42" t="str">
        <f>+IF($R$5=0,"",'4. '!Q99)</f>
        <v/>
      </c>
      <c r="S173" s="42" t="str">
        <f>+IF($S$5=0,"",'4. '!R99)</f>
        <v/>
      </c>
      <c r="T173" s="42" t="str">
        <f>+IF($T$5=0,"",'4. '!S99)</f>
        <v/>
      </c>
      <c r="U173" s="42" t="str">
        <f>+IF($U$5=0,"",'4. '!T99)</f>
        <v/>
      </c>
      <c r="V173" s="42" t="str">
        <f>+IF($V$5=0,"",'4. '!U99)</f>
        <v/>
      </c>
      <c r="W173" s="42" t="str">
        <f>+IF($W$5=0,"",'4. '!V99)</f>
        <v/>
      </c>
      <c r="X173" s="42" t="str">
        <f>+IF($X$5=0,"",'4. '!W99)</f>
        <v/>
      </c>
      <c r="Y173" s="42" t="str">
        <f>+IF($Y$5=0,"",'4. '!X99)</f>
        <v/>
      </c>
      <c r="Z173" s="42" t="str">
        <f>+IF($Z$5=0,"",'4. '!Y99)</f>
        <v/>
      </c>
      <c r="AA173" s="42" t="str">
        <f>+IF($AA$5=0,"",'4. '!Z99)</f>
        <v/>
      </c>
      <c r="AB173" s="42" t="str">
        <f>+IF($AB$5=0,"",'4. '!AA99)</f>
        <v/>
      </c>
      <c r="AC173" s="42" t="str">
        <f>+IF($AC$5=0,"",'4. '!AB99)</f>
        <v/>
      </c>
      <c r="AD173" s="42" t="str">
        <f>+IF($AD$5=0,"",'4. '!AC99)</f>
        <v/>
      </c>
      <c r="AE173" s="42" t="str">
        <f>+IF($AE$5=0,"",'4. '!AD99)</f>
        <v/>
      </c>
      <c r="AF173" s="42" t="str">
        <f>+IF($AF$5=0,"",'4. '!AE99)</f>
        <v/>
      </c>
      <c r="AG173" s="50" t="e">
        <f t="shared" si="3"/>
        <v>#DIV/0!</v>
      </c>
      <c r="AH173" s="6"/>
      <c r="AI173"/>
      <c r="AJ173"/>
    </row>
    <row r="174" spans="1:36" s="1" customFormat="1" ht="15.75" thickBot="1" x14ac:dyDescent="0.3">
      <c r="A174"/>
      <c r="B174" s="11" t="s">
        <v>61</v>
      </c>
      <c r="C174" s="42" t="str">
        <f>+IF($C$5=0,"",'4. '!B16)</f>
        <v/>
      </c>
      <c r="D174" s="42" t="str">
        <f>+IF($D$5=0,"",'4. '!C16)</f>
        <v/>
      </c>
      <c r="E174" s="42" t="str">
        <f>+IF($E$5=0,"",'4. '!D16)</f>
        <v/>
      </c>
      <c r="F174" s="42" t="str">
        <f>+IF($F$5=0,"",'4. '!E16)</f>
        <v/>
      </c>
      <c r="G174" s="42" t="str">
        <f>+IF($G$5=0,"",'4. '!F16)</f>
        <v/>
      </c>
      <c r="H174" s="42" t="str">
        <f>+IF($H$5=0,"",'4. '!G16)</f>
        <v/>
      </c>
      <c r="I174" s="42" t="str">
        <f>+IF($I$5=0,"",'4. '!H16)</f>
        <v/>
      </c>
      <c r="J174" s="42" t="str">
        <f>+IF($J$5=0,"",'4. '!I16)</f>
        <v/>
      </c>
      <c r="K174" s="42" t="str">
        <f>+IF($K$5=0,"",'4. '!J16)</f>
        <v/>
      </c>
      <c r="L174" s="42" t="str">
        <f>+IF($L$5=0,"",'4. '!K16)</f>
        <v/>
      </c>
      <c r="M174" s="42" t="str">
        <f>+IF($M$5=0,"",'4. '!L16)</f>
        <v/>
      </c>
      <c r="N174" s="42" t="str">
        <f>+IF($N$5=0,"",'4. '!M16)</f>
        <v/>
      </c>
      <c r="O174" s="42" t="str">
        <f>+IF($O$5=0,"",'4. '!N16)</f>
        <v/>
      </c>
      <c r="P174" s="42" t="str">
        <f>+IF($P$5=0,"",'4. '!O16)</f>
        <v/>
      </c>
      <c r="Q174" s="42" t="str">
        <f>+IF($Q$5=0,"",'4. '!P16)</f>
        <v/>
      </c>
      <c r="R174" s="42" t="str">
        <f>+IF($R$5=0,"",'4. '!Q16)</f>
        <v/>
      </c>
      <c r="S174" s="42" t="str">
        <f>+IF($S$5=0,"",'4. '!R16)</f>
        <v/>
      </c>
      <c r="T174" s="42" t="str">
        <f>+IF($T$5=0,"",'4. '!S16)</f>
        <v/>
      </c>
      <c r="U174" s="42" t="str">
        <f>+IF($U$5=0,"",'4. '!T16)</f>
        <v/>
      </c>
      <c r="V174" s="42" t="str">
        <f>+IF($V$5=0,"",'4. '!U16)</f>
        <v/>
      </c>
      <c r="W174" s="42" t="str">
        <f>+IF($W$5=0,"",'4. '!V16)</f>
        <v/>
      </c>
      <c r="X174" s="42" t="str">
        <f>+IF($X$5=0,"",'4. '!W16)</f>
        <v/>
      </c>
      <c r="Y174" s="42" t="str">
        <f>+IF($Y$5=0,"",'4. '!X16)</f>
        <v/>
      </c>
      <c r="Z174" s="42" t="str">
        <f>+IF($Z$5=0,"",'4. '!Y16)</f>
        <v/>
      </c>
      <c r="AA174" s="42" t="str">
        <f>+IF($AA$5=0,"",'4. '!Z16)</f>
        <v/>
      </c>
      <c r="AB174" s="42" t="str">
        <f>+IF($AB$5=0,"",'4. '!AA16)</f>
        <v/>
      </c>
      <c r="AC174" s="42" t="str">
        <f>+IF($AC$5=0,"",'4. '!AB16)</f>
        <v/>
      </c>
      <c r="AD174" s="42" t="str">
        <f>+IF($AD$5=0,"",'4. '!AC16)</f>
        <v/>
      </c>
      <c r="AE174" s="42" t="str">
        <f>+IF($AE$5=0,"",'4. '!AD16)</f>
        <v/>
      </c>
      <c r="AF174" s="42" t="str">
        <f>+IF($AF$5=0,"",'4. '!AE16)</f>
        <v/>
      </c>
      <c r="AG174" s="50" t="e">
        <f t="shared" si="3"/>
        <v>#DIV/0!</v>
      </c>
      <c r="AH174" s="6"/>
      <c r="AI174"/>
      <c r="AJ174"/>
    </row>
    <row r="175" spans="1:36" s="1" customFormat="1" ht="15.75" thickBot="1" x14ac:dyDescent="0.3">
      <c r="A175"/>
      <c r="B175" s="10" t="s">
        <v>66</v>
      </c>
      <c r="C175" s="42" t="str">
        <f>+IF($C$5=0,"",'4. '!B21)</f>
        <v/>
      </c>
      <c r="D175" s="42" t="str">
        <f>+IF($D$5=0,"",'4. '!C21)</f>
        <v/>
      </c>
      <c r="E175" s="42" t="str">
        <f>+IF($E$5=0,"",'4. '!D21)</f>
        <v/>
      </c>
      <c r="F175" s="42" t="str">
        <f>+IF($F$5=0,"",'4. '!E21)</f>
        <v/>
      </c>
      <c r="G175" s="42" t="str">
        <f>+IF($G$5=0,"",'4. '!F21)</f>
        <v/>
      </c>
      <c r="H175" s="42" t="str">
        <f>+IF($H$5=0,"",'4. '!G21)</f>
        <v/>
      </c>
      <c r="I175" s="42" t="str">
        <f>+IF($I$5=0,"",'4. '!H21)</f>
        <v/>
      </c>
      <c r="J175" s="42" t="str">
        <f>+IF($J$5=0,"",'4. '!I21)</f>
        <v/>
      </c>
      <c r="K175" s="42" t="str">
        <f>+IF($K$5=0,"",'4. '!J21)</f>
        <v/>
      </c>
      <c r="L175" s="42" t="str">
        <f>+IF($L$5=0,"",'4. '!K21)</f>
        <v/>
      </c>
      <c r="M175" s="42" t="str">
        <f>+IF($M$5=0,"",'4. '!L21)</f>
        <v/>
      </c>
      <c r="N175" s="42" t="str">
        <f>+IF($N$5=0,"",'4. '!M21)</f>
        <v/>
      </c>
      <c r="O175" s="42" t="str">
        <f>+IF($O$5=0,"",'4. '!N21)</f>
        <v/>
      </c>
      <c r="P175" s="42" t="str">
        <f>+IF($P$5=0,"",'4. '!O21)</f>
        <v/>
      </c>
      <c r="Q175" s="42" t="str">
        <f>+IF($Q$5=0,"",'4. '!P21)</f>
        <v/>
      </c>
      <c r="R175" s="42" t="str">
        <f>+IF($R$5=0,"",'4. '!Q21)</f>
        <v/>
      </c>
      <c r="S175" s="42" t="str">
        <f>+IF($S$5=0,"",'4. '!R21)</f>
        <v/>
      </c>
      <c r="T175" s="42" t="str">
        <f>+IF($T$5=0,"",'4. '!S21)</f>
        <v/>
      </c>
      <c r="U175" s="42" t="str">
        <f>+IF($U$5=0,"",'4. '!T21)</f>
        <v/>
      </c>
      <c r="V175" s="42" t="str">
        <f>+IF($V$5=0,"",'4. '!U21)</f>
        <v/>
      </c>
      <c r="W175" s="42" t="str">
        <f>+IF($W$5=0,"",'4. '!V21)</f>
        <v/>
      </c>
      <c r="X175" s="42" t="str">
        <f>+IF($X$5=0,"",'4. '!W21)</f>
        <v/>
      </c>
      <c r="Y175" s="42" t="str">
        <f>+IF($Y$5=0,"",'4. '!X21)</f>
        <v/>
      </c>
      <c r="Z175" s="42" t="str">
        <f>+IF($Z$5=0,"",'4. '!Y21)</f>
        <v/>
      </c>
      <c r="AA175" s="42" t="str">
        <f>+IF($AA$5=0,"",'4. '!Z21)</f>
        <v/>
      </c>
      <c r="AB175" s="42" t="str">
        <f>+IF($AB$5=0,"",'4. '!AA21)</f>
        <v/>
      </c>
      <c r="AC175" s="42" t="str">
        <f>+IF($AC$5=0,"",'4. '!AB21)</f>
        <v/>
      </c>
      <c r="AD175" s="42" t="str">
        <f>+IF($AD$5=0,"",'4. '!AC21)</f>
        <v/>
      </c>
      <c r="AE175" s="42" t="str">
        <f>+IF($AE$5=0,"",'4. '!AD21)</f>
        <v/>
      </c>
      <c r="AF175" s="42" t="str">
        <f>+IF($AF$5=0,"",'4. '!AE21)</f>
        <v/>
      </c>
      <c r="AG175" s="50" t="e">
        <f t="shared" si="3"/>
        <v>#DIV/0!</v>
      </c>
      <c r="AH175" s="6"/>
      <c r="AI175"/>
      <c r="AJ175"/>
    </row>
    <row r="176" spans="1:36" s="1" customFormat="1" ht="15.75" thickBot="1" x14ac:dyDescent="0.3">
      <c r="A176"/>
      <c r="B176" s="11" t="s">
        <v>63</v>
      </c>
      <c r="C176" s="42" t="str">
        <f>+IF($C$5=0,"",'4. '!B18)</f>
        <v/>
      </c>
      <c r="D176" s="42" t="str">
        <f>+IF($D$5=0,"",'4. '!C18)</f>
        <v/>
      </c>
      <c r="E176" s="42" t="str">
        <f>+IF($E$5=0,"",'4. '!D18)</f>
        <v/>
      </c>
      <c r="F176" s="42" t="str">
        <f>+IF($F$5=0,"",'4. '!E18)</f>
        <v/>
      </c>
      <c r="G176" s="42" t="str">
        <f>+IF($G$5=0,"",'4. '!F18)</f>
        <v/>
      </c>
      <c r="H176" s="42" t="str">
        <f>+IF($H$5=0,"",'4. '!G18)</f>
        <v/>
      </c>
      <c r="I176" s="42" t="str">
        <f>+IF($I$5=0,"",'4. '!H18)</f>
        <v/>
      </c>
      <c r="J176" s="42" t="str">
        <f>+IF($J$5=0,"",'4. '!I18)</f>
        <v/>
      </c>
      <c r="K176" s="42" t="str">
        <f>+IF($K$5=0,"",'4. '!J18)</f>
        <v/>
      </c>
      <c r="L176" s="42" t="str">
        <f>+IF($L$5=0,"",'4. '!K18)</f>
        <v/>
      </c>
      <c r="M176" s="42" t="str">
        <f>+IF($M$5=0,"",'4. '!L18)</f>
        <v/>
      </c>
      <c r="N176" s="42" t="str">
        <f>+IF($N$5=0,"",'4. '!M18)</f>
        <v/>
      </c>
      <c r="O176" s="42" t="str">
        <f>+IF($O$5=0,"",'4. '!N18)</f>
        <v/>
      </c>
      <c r="P176" s="42" t="str">
        <f>+IF($P$5=0,"",'4. '!O18)</f>
        <v/>
      </c>
      <c r="Q176" s="42" t="str">
        <f>+IF($Q$5=0,"",'4. '!P18)</f>
        <v/>
      </c>
      <c r="R176" s="42" t="str">
        <f>+IF($R$5=0,"",'4. '!Q18)</f>
        <v/>
      </c>
      <c r="S176" s="42" t="str">
        <f>+IF($S$5=0,"",'4. '!R18)</f>
        <v/>
      </c>
      <c r="T176" s="42" t="str">
        <f>+IF($T$5=0,"",'4. '!S18)</f>
        <v/>
      </c>
      <c r="U176" s="42" t="str">
        <f>+IF($U$5=0,"",'4. '!T18)</f>
        <v/>
      </c>
      <c r="V176" s="42" t="str">
        <f>+IF($V$5=0,"",'4. '!U18)</f>
        <v/>
      </c>
      <c r="W176" s="42" t="str">
        <f>+IF($W$5=0,"",'4. '!V18)</f>
        <v/>
      </c>
      <c r="X176" s="42" t="str">
        <f>+IF($X$5=0,"",'4. '!W18)</f>
        <v/>
      </c>
      <c r="Y176" s="42" t="str">
        <f>+IF($Y$5=0,"",'4. '!X18)</f>
        <v/>
      </c>
      <c r="Z176" s="42" t="str">
        <f>+IF($Z$5=0,"",'4. '!Y18)</f>
        <v/>
      </c>
      <c r="AA176" s="42" t="str">
        <f>+IF($AA$5=0,"",'4. '!Z18)</f>
        <v/>
      </c>
      <c r="AB176" s="42" t="str">
        <f>+IF($AB$5=0,"",'4. '!AA18)</f>
        <v/>
      </c>
      <c r="AC176" s="42" t="str">
        <f>+IF($AC$5=0,"",'4. '!AB18)</f>
        <v/>
      </c>
      <c r="AD176" s="42" t="str">
        <f>+IF($AD$5=0,"",'4. '!AC18)</f>
        <v/>
      </c>
      <c r="AE176" s="42" t="str">
        <f>+IF($AE$5=0,"",'4. '!AD18)</f>
        <v/>
      </c>
      <c r="AF176" s="42" t="str">
        <f>+IF($AF$5=0,"",'4. '!AE18)</f>
        <v/>
      </c>
      <c r="AG176" s="50" t="e">
        <f t="shared" si="3"/>
        <v>#DIV/0!</v>
      </c>
      <c r="AH176" s="6"/>
      <c r="AI176"/>
      <c r="AJ176"/>
    </row>
    <row r="177" spans="1:36" s="1" customFormat="1" ht="15.75" thickBot="1" x14ac:dyDescent="0.3">
      <c r="A177"/>
      <c r="B177" s="10" t="s">
        <v>144</v>
      </c>
      <c r="C177" s="42" t="str">
        <f>+IF($C$5=0,"",'4. '!B86)</f>
        <v/>
      </c>
      <c r="D177" s="42" t="str">
        <f>+IF($D$5=0,"",'4. '!C86)</f>
        <v/>
      </c>
      <c r="E177" s="42" t="str">
        <f>+IF($E$5=0,"",'4. '!D86)</f>
        <v/>
      </c>
      <c r="F177" s="42" t="str">
        <f>+IF($F$5=0,"",'4. '!E86)</f>
        <v/>
      </c>
      <c r="G177" s="42" t="str">
        <f>+IF($G$5=0,"",'4. '!F86)</f>
        <v/>
      </c>
      <c r="H177" s="42" t="str">
        <f>+IF($H$5=0,"",'4. '!G86)</f>
        <v/>
      </c>
      <c r="I177" s="42" t="str">
        <f>+IF($I$5=0,"",'4. '!H86)</f>
        <v/>
      </c>
      <c r="J177" s="42" t="str">
        <f>+IF($J$5=0,"",'4. '!I86)</f>
        <v/>
      </c>
      <c r="K177" s="42" t="str">
        <f>+IF($K$5=0,"",'4. '!J86)</f>
        <v/>
      </c>
      <c r="L177" s="42" t="str">
        <f>+IF($L$5=0,"",'4. '!K86)</f>
        <v/>
      </c>
      <c r="M177" s="42" t="str">
        <f>+IF($M$5=0,"",'4. '!L86)</f>
        <v/>
      </c>
      <c r="N177" s="42" t="str">
        <f>+IF($N$5=0,"",'4. '!M86)</f>
        <v/>
      </c>
      <c r="O177" s="42" t="str">
        <f>+IF($O$5=0,"",'4. '!N86)</f>
        <v/>
      </c>
      <c r="P177" s="42" t="str">
        <f>+IF($P$5=0,"",'4. '!O86)</f>
        <v/>
      </c>
      <c r="Q177" s="42" t="str">
        <f>+IF($Q$5=0,"",'4. '!P86)</f>
        <v/>
      </c>
      <c r="R177" s="42" t="str">
        <f>+IF($R$5=0,"",'4. '!Q86)</f>
        <v/>
      </c>
      <c r="S177" s="42" t="str">
        <f>+IF($S$5=0,"",'4. '!R86)</f>
        <v/>
      </c>
      <c r="T177" s="42" t="str">
        <f>+IF($T$5=0,"",'4. '!S86)</f>
        <v/>
      </c>
      <c r="U177" s="42" t="str">
        <f>+IF($U$5=0,"",'4. '!T86)</f>
        <v/>
      </c>
      <c r="V177" s="42" t="str">
        <f>+IF($V$5=0,"",'4. '!U86)</f>
        <v/>
      </c>
      <c r="W177" s="42" t="str">
        <f>+IF($W$5=0,"",'4. '!V86)</f>
        <v/>
      </c>
      <c r="X177" s="42" t="str">
        <f>+IF($X$5=0,"",'4. '!W86)</f>
        <v/>
      </c>
      <c r="Y177" s="42" t="str">
        <f>+IF($Y$5=0,"",'4. '!X86)</f>
        <v/>
      </c>
      <c r="Z177" s="42" t="str">
        <f>+IF($Z$5=0,"",'4. '!Y86)</f>
        <v/>
      </c>
      <c r="AA177" s="42" t="str">
        <f>+IF($AA$5=0,"",'4. '!Z86)</f>
        <v/>
      </c>
      <c r="AB177" s="42" t="str">
        <f>+IF($AB$5=0,"",'4. '!AA86)</f>
        <v/>
      </c>
      <c r="AC177" s="42" t="str">
        <f>+IF($AC$5=0,"",'4. '!AB86)</f>
        <v/>
      </c>
      <c r="AD177" s="42" t="str">
        <f>+IF($AD$5=0,"",'4. '!AC86)</f>
        <v/>
      </c>
      <c r="AE177" s="42" t="str">
        <f>+IF($AE$5=0,"",'4. '!AD86)</f>
        <v/>
      </c>
      <c r="AF177" s="42" t="str">
        <f>+IF($AF$5=0,"",'4. '!AE86)</f>
        <v/>
      </c>
      <c r="AG177" s="50" t="e">
        <f t="shared" si="3"/>
        <v>#DIV/0!</v>
      </c>
      <c r="AH177" s="6"/>
      <c r="AI177"/>
      <c r="AJ177"/>
    </row>
    <row r="178" spans="1:36" s="1" customFormat="1" ht="15.75" thickBot="1" x14ac:dyDescent="0.3">
      <c r="A178"/>
      <c r="B178" s="11" t="s">
        <v>146</v>
      </c>
      <c r="C178" s="42" t="str">
        <f>+IF($C$5=0,"",'4. '!B88)</f>
        <v/>
      </c>
      <c r="D178" s="42" t="str">
        <f>+IF($D$5=0,"",'4. '!C88)</f>
        <v/>
      </c>
      <c r="E178" s="42" t="str">
        <f>+IF($E$5=0,"",'4. '!D88)</f>
        <v/>
      </c>
      <c r="F178" s="42" t="str">
        <f>+IF($F$5=0,"",'4. '!E88)</f>
        <v/>
      </c>
      <c r="G178" s="42" t="str">
        <f>+IF($G$5=0,"",'4. '!F88)</f>
        <v/>
      </c>
      <c r="H178" s="42" t="str">
        <f>+IF($H$5=0,"",'4. '!G88)</f>
        <v/>
      </c>
      <c r="I178" s="42" t="str">
        <f>+IF($I$5=0,"",'4. '!H88)</f>
        <v/>
      </c>
      <c r="J178" s="42" t="str">
        <f>+IF($J$5=0,"",'4. '!I88)</f>
        <v/>
      </c>
      <c r="K178" s="42" t="str">
        <f>+IF($K$5=0,"",'4. '!J88)</f>
        <v/>
      </c>
      <c r="L178" s="42" t="str">
        <f>+IF($L$5=0,"",'4. '!K88)</f>
        <v/>
      </c>
      <c r="M178" s="42" t="str">
        <f>+IF($M$5=0,"",'4. '!L88)</f>
        <v/>
      </c>
      <c r="N178" s="42" t="str">
        <f>+IF($N$5=0,"",'4. '!M88)</f>
        <v/>
      </c>
      <c r="O178" s="42" t="str">
        <f>+IF($O$5=0,"",'4. '!N88)</f>
        <v/>
      </c>
      <c r="P178" s="42" t="str">
        <f>+IF($P$5=0,"",'4. '!O88)</f>
        <v/>
      </c>
      <c r="Q178" s="42" t="str">
        <f>+IF($Q$5=0,"",'4. '!P88)</f>
        <v/>
      </c>
      <c r="R178" s="42" t="str">
        <f>+IF($R$5=0,"",'4. '!Q88)</f>
        <v/>
      </c>
      <c r="S178" s="42" t="str">
        <f>+IF($S$5=0,"",'4. '!R88)</f>
        <v/>
      </c>
      <c r="T178" s="42" t="str">
        <f>+IF($T$5=0,"",'4. '!S88)</f>
        <v/>
      </c>
      <c r="U178" s="42" t="str">
        <f>+IF($U$5=0,"",'4. '!T88)</f>
        <v/>
      </c>
      <c r="V178" s="42" t="str">
        <f>+IF($V$5=0,"",'4. '!U88)</f>
        <v/>
      </c>
      <c r="W178" s="42" t="str">
        <f>+IF($W$5=0,"",'4. '!V88)</f>
        <v/>
      </c>
      <c r="X178" s="42" t="str">
        <f>+IF($X$5=0,"",'4. '!W88)</f>
        <v/>
      </c>
      <c r="Y178" s="42" t="str">
        <f>+IF($Y$5=0,"",'4. '!X88)</f>
        <v/>
      </c>
      <c r="Z178" s="42" t="str">
        <f>+IF($Z$5=0,"",'4. '!Y88)</f>
        <v/>
      </c>
      <c r="AA178" s="42" t="str">
        <f>+IF($AA$5=0,"",'4. '!Z88)</f>
        <v/>
      </c>
      <c r="AB178" s="42" t="str">
        <f>+IF($AB$5=0,"",'4. '!AA88)</f>
        <v/>
      </c>
      <c r="AC178" s="42" t="str">
        <f>+IF($AC$5=0,"",'4. '!AB88)</f>
        <v/>
      </c>
      <c r="AD178" s="42" t="str">
        <f>+IF($AD$5=0,"",'4. '!AC88)</f>
        <v/>
      </c>
      <c r="AE178" s="42" t="str">
        <f>+IF($AE$5=0,"",'4. '!AD88)</f>
        <v/>
      </c>
      <c r="AF178" s="42" t="str">
        <f>+IF($AF$5=0,"",'4. '!AE88)</f>
        <v/>
      </c>
      <c r="AG178" s="50" t="e">
        <f t="shared" si="3"/>
        <v>#DIV/0!</v>
      </c>
      <c r="AH178" s="6"/>
      <c r="AI178"/>
      <c r="AJ178"/>
    </row>
    <row r="179" spans="1:36" s="1" customFormat="1" ht="15.75" thickBot="1" x14ac:dyDescent="0.3">
      <c r="A179"/>
      <c r="B179" s="10" t="s">
        <v>151</v>
      </c>
      <c r="C179" s="42" t="str">
        <f>+IF($C$5=0,"",'4. '!B93)</f>
        <v/>
      </c>
      <c r="D179" s="42" t="str">
        <f>+IF($D$5=0,"",'4. '!C93)</f>
        <v/>
      </c>
      <c r="E179" s="42" t="str">
        <f>+IF($E$5=0,"",'4. '!D93)</f>
        <v/>
      </c>
      <c r="F179" s="42" t="str">
        <f>+IF($F$5=0,"",'4. '!E93)</f>
        <v/>
      </c>
      <c r="G179" s="42" t="str">
        <f>+IF($G$5=0,"",'4. '!F93)</f>
        <v/>
      </c>
      <c r="H179" s="42" t="str">
        <f>+IF($H$5=0,"",'4. '!G93)</f>
        <v/>
      </c>
      <c r="I179" s="42" t="str">
        <f>+IF($I$5=0,"",'4. '!H93)</f>
        <v/>
      </c>
      <c r="J179" s="42" t="str">
        <f>+IF($J$5=0,"",'4. '!I93)</f>
        <v/>
      </c>
      <c r="K179" s="42" t="str">
        <f>+IF($K$5=0,"",'4. '!J93)</f>
        <v/>
      </c>
      <c r="L179" s="42" t="str">
        <f>+IF($L$5=0,"",'4. '!K93)</f>
        <v/>
      </c>
      <c r="M179" s="42" t="str">
        <f>+IF($M$5=0,"",'4. '!L93)</f>
        <v/>
      </c>
      <c r="N179" s="42" t="str">
        <f>+IF($N$5=0,"",'4. '!M93)</f>
        <v/>
      </c>
      <c r="O179" s="42" t="str">
        <f>+IF($O$5=0,"",'4. '!N93)</f>
        <v/>
      </c>
      <c r="P179" s="42" t="str">
        <f>+IF($P$5=0,"",'4. '!O93)</f>
        <v/>
      </c>
      <c r="Q179" s="42" t="str">
        <f>+IF($Q$5=0,"",'4. '!P93)</f>
        <v/>
      </c>
      <c r="R179" s="42" t="str">
        <f>+IF($R$5=0,"",'4. '!Q93)</f>
        <v/>
      </c>
      <c r="S179" s="42" t="str">
        <f>+IF($S$5=0,"",'4. '!R93)</f>
        <v/>
      </c>
      <c r="T179" s="42" t="str">
        <f>+IF($T$5=0,"",'4. '!S93)</f>
        <v/>
      </c>
      <c r="U179" s="42" t="str">
        <f>+IF($U$5=0,"",'4. '!T93)</f>
        <v/>
      </c>
      <c r="V179" s="42" t="str">
        <f>+IF($V$5=0,"",'4. '!U93)</f>
        <v/>
      </c>
      <c r="W179" s="42" t="str">
        <f>+IF($W$5=0,"",'4. '!V93)</f>
        <v/>
      </c>
      <c r="X179" s="42" t="str">
        <f>+IF($X$5=0,"",'4. '!W93)</f>
        <v/>
      </c>
      <c r="Y179" s="42" t="str">
        <f>+IF($Y$5=0,"",'4. '!X93)</f>
        <v/>
      </c>
      <c r="Z179" s="42" t="str">
        <f>+IF($Z$5=0,"",'4. '!Y93)</f>
        <v/>
      </c>
      <c r="AA179" s="42" t="str">
        <f>+IF($AA$5=0,"",'4. '!Z93)</f>
        <v/>
      </c>
      <c r="AB179" s="42" t="str">
        <f>+IF($AB$5=0,"",'4. '!AA93)</f>
        <v/>
      </c>
      <c r="AC179" s="42" t="str">
        <f>+IF($AC$5=0,"",'4. '!AB93)</f>
        <v/>
      </c>
      <c r="AD179" s="42" t="str">
        <f>+IF($AD$5=0,"",'4. '!AC93)</f>
        <v/>
      </c>
      <c r="AE179" s="42" t="str">
        <f>+IF($AE$5=0,"",'4. '!AD93)</f>
        <v/>
      </c>
      <c r="AF179" s="42" t="str">
        <f>+IF($AF$5=0,"",'4. '!AE93)</f>
        <v/>
      </c>
      <c r="AG179" s="50" t="e">
        <f t="shared" si="3"/>
        <v>#DIV/0!</v>
      </c>
      <c r="AH179" s="6"/>
      <c r="AI179"/>
      <c r="AJ179"/>
    </row>
    <row r="180" spans="1:36" s="1" customFormat="1" ht="15.75" thickBot="1" x14ac:dyDescent="0.3">
      <c r="A180"/>
      <c r="B180" s="11" t="s">
        <v>4</v>
      </c>
      <c r="C180" s="42" t="str">
        <f>+IF($C$5=0,"",'4. '!B5)</f>
        <v/>
      </c>
      <c r="D180" s="42" t="str">
        <f>+IF($D$5=0,"",'4. '!C5)</f>
        <v/>
      </c>
      <c r="E180" s="42" t="str">
        <f>+IF($E$5=0,"",'4. '!D5)</f>
        <v/>
      </c>
      <c r="F180" s="42" t="str">
        <f>+IF($F$5=0,"",'4. '!E5)</f>
        <v/>
      </c>
      <c r="G180" s="42" t="str">
        <f>+IF($G$5=0,"",'4. '!F5)</f>
        <v/>
      </c>
      <c r="H180" s="42" t="str">
        <f>+IF($H$5=0,"",'4. '!G5)</f>
        <v/>
      </c>
      <c r="I180" s="42" t="str">
        <f>+IF($I$5=0,"",'4. '!H5)</f>
        <v/>
      </c>
      <c r="J180" s="42" t="str">
        <f>+IF($J$5=0,"",'4. '!I5)</f>
        <v/>
      </c>
      <c r="K180" s="42" t="str">
        <f>+IF($K$5=0,"",'4. '!J5)</f>
        <v/>
      </c>
      <c r="L180" s="42" t="str">
        <f>+IF($L$5=0,"",'4. '!K5)</f>
        <v/>
      </c>
      <c r="M180" s="42" t="str">
        <f>+IF($M$5=0,"",'4. '!L5)</f>
        <v/>
      </c>
      <c r="N180" s="42" t="str">
        <f>+IF($N$5=0,"",'4. '!M5)</f>
        <v/>
      </c>
      <c r="O180" s="42" t="str">
        <f>+IF($O$5=0,"",'4. '!N5)</f>
        <v/>
      </c>
      <c r="P180" s="42" t="str">
        <f>+IF($P$5=0,"",'4. '!O5)</f>
        <v/>
      </c>
      <c r="Q180" s="42" t="str">
        <f>+IF($Q$5=0,"",'4. '!P5)</f>
        <v/>
      </c>
      <c r="R180" s="42" t="str">
        <f>+IF($R$5=0,"",'4. '!Q5)</f>
        <v/>
      </c>
      <c r="S180" s="42" t="str">
        <f>+IF($S$5=0,"",'4. '!R5)</f>
        <v/>
      </c>
      <c r="T180" s="42" t="str">
        <f>+IF($T$5=0,"",'4. '!S5)</f>
        <v/>
      </c>
      <c r="U180" s="42" t="str">
        <f>+IF($U$5=0,"",'4. '!T5)</f>
        <v/>
      </c>
      <c r="V180" s="42" t="str">
        <f>+IF($V$5=0,"",'4. '!U5)</f>
        <v/>
      </c>
      <c r="W180" s="42" t="str">
        <f>+IF($W$5=0,"",'4. '!V5)</f>
        <v/>
      </c>
      <c r="X180" s="42" t="str">
        <f>+IF($X$5=0,"",'4. '!W5)</f>
        <v/>
      </c>
      <c r="Y180" s="42" t="str">
        <f>+IF($Y$5=0,"",'4. '!X5)</f>
        <v/>
      </c>
      <c r="Z180" s="42" t="str">
        <f>+IF($Z$5=0,"",'4. '!Y5)</f>
        <v/>
      </c>
      <c r="AA180" s="42" t="str">
        <f>+IF($AA$5=0,"",'4. '!Z5)</f>
        <v/>
      </c>
      <c r="AB180" s="42" t="str">
        <f>+IF($AB$5=0,"",'4. '!AA5)</f>
        <v/>
      </c>
      <c r="AC180" s="42" t="str">
        <f>+IF($AC$5=0,"",'4. '!AB5)</f>
        <v/>
      </c>
      <c r="AD180" s="42" t="str">
        <f>+IF($AD$5=0,"",'4. '!AC5)</f>
        <v/>
      </c>
      <c r="AE180" s="42" t="str">
        <f>+IF($AE$5=0,"",'4. '!AD5)</f>
        <v/>
      </c>
      <c r="AF180" s="42" t="str">
        <f>+IF($AF$5=0,"",'4. '!AE5)</f>
        <v/>
      </c>
      <c r="AG180" s="50" t="e">
        <f t="shared" si="3"/>
        <v>#DIV/0!</v>
      </c>
      <c r="AH180" s="6"/>
      <c r="AI180"/>
      <c r="AJ180"/>
    </row>
    <row r="181" spans="1:36" s="1" customFormat="1" ht="15.75" thickBot="1" x14ac:dyDescent="0.3">
      <c r="A181"/>
      <c r="B181" s="10" t="s">
        <v>148</v>
      </c>
      <c r="C181" s="42" t="str">
        <f>+IF($C$5=0,"",'4. '!B90)</f>
        <v/>
      </c>
      <c r="D181" s="42" t="str">
        <f>+IF($D$5=0,"",'4. '!C90)</f>
        <v/>
      </c>
      <c r="E181" s="42" t="str">
        <f>+IF($E$5=0,"",'4. '!D90)</f>
        <v/>
      </c>
      <c r="F181" s="42" t="str">
        <f>+IF($F$5=0,"",'4. '!E90)</f>
        <v/>
      </c>
      <c r="G181" s="42" t="str">
        <f>+IF($G$5=0,"",'4. '!F90)</f>
        <v/>
      </c>
      <c r="H181" s="42" t="str">
        <f>+IF($H$5=0,"",'4. '!G90)</f>
        <v/>
      </c>
      <c r="I181" s="42" t="str">
        <f>+IF($I$5=0,"",'4. '!H90)</f>
        <v/>
      </c>
      <c r="J181" s="42" t="str">
        <f>+IF($J$5=0,"",'4. '!I90)</f>
        <v/>
      </c>
      <c r="K181" s="42" t="str">
        <f>+IF($K$5=0,"",'4. '!J90)</f>
        <v/>
      </c>
      <c r="L181" s="42" t="str">
        <f>+IF($L$5=0,"",'4. '!K90)</f>
        <v/>
      </c>
      <c r="M181" s="42" t="str">
        <f>+IF($M$5=0,"",'4. '!L90)</f>
        <v/>
      </c>
      <c r="N181" s="42" t="str">
        <f>+IF($N$5=0,"",'4. '!M90)</f>
        <v/>
      </c>
      <c r="O181" s="42" t="str">
        <f>+IF($O$5=0,"",'4. '!N90)</f>
        <v/>
      </c>
      <c r="P181" s="42" t="str">
        <f>+IF($P$5=0,"",'4. '!O90)</f>
        <v/>
      </c>
      <c r="Q181" s="42" t="str">
        <f>+IF($Q$5=0,"",'4. '!P90)</f>
        <v/>
      </c>
      <c r="R181" s="42" t="str">
        <f>+IF($R$5=0,"",'4. '!Q90)</f>
        <v/>
      </c>
      <c r="S181" s="42" t="str">
        <f>+IF($S$5=0,"",'4. '!R90)</f>
        <v/>
      </c>
      <c r="T181" s="42" t="str">
        <f>+IF($T$5=0,"",'4. '!S90)</f>
        <v/>
      </c>
      <c r="U181" s="42" t="str">
        <f>+IF($U$5=0,"",'4. '!T90)</f>
        <v/>
      </c>
      <c r="V181" s="42" t="str">
        <f>+IF($V$5=0,"",'4. '!U90)</f>
        <v/>
      </c>
      <c r="W181" s="42" t="str">
        <f>+IF($W$5=0,"",'4. '!V90)</f>
        <v/>
      </c>
      <c r="X181" s="42" t="str">
        <f>+IF($X$5=0,"",'4. '!W90)</f>
        <v/>
      </c>
      <c r="Y181" s="42" t="str">
        <f>+IF($Y$5=0,"",'4. '!X90)</f>
        <v/>
      </c>
      <c r="Z181" s="42" t="str">
        <f>+IF($Z$5=0,"",'4. '!Y90)</f>
        <v/>
      </c>
      <c r="AA181" s="42" t="str">
        <f>+IF($AA$5=0,"",'4. '!Z90)</f>
        <v/>
      </c>
      <c r="AB181" s="42" t="str">
        <f>+IF($AB$5=0,"",'4. '!AA90)</f>
        <v/>
      </c>
      <c r="AC181" s="42" t="str">
        <f>+IF($AC$5=0,"",'4. '!AB90)</f>
        <v/>
      </c>
      <c r="AD181" s="42" t="str">
        <f>+IF($AD$5=0,"",'4. '!AC90)</f>
        <v/>
      </c>
      <c r="AE181" s="42" t="str">
        <f>+IF($AE$5=0,"",'4. '!AD90)</f>
        <v/>
      </c>
      <c r="AF181" s="42" t="str">
        <f>+IF($AF$5=0,"",'4. '!AE90)</f>
        <v/>
      </c>
      <c r="AG181" s="50" t="e">
        <f t="shared" si="3"/>
        <v>#DIV/0!</v>
      </c>
      <c r="AH181" s="6"/>
      <c r="AI181"/>
      <c r="AJ181"/>
    </row>
    <row r="182" spans="1:36" s="1" customFormat="1" ht="15.75" thickBot="1" x14ac:dyDescent="0.3">
      <c r="A182"/>
      <c r="B182" s="11" t="s">
        <v>52</v>
      </c>
      <c r="C182" s="42" t="str">
        <f>+IF($C$5=0,"",'4. '!B7)</f>
        <v/>
      </c>
      <c r="D182" s="42" t="str">
        <f>+IF($D$5=0,"",'4. '!C7)</f>
        <v/>
      </c>
      <c r="E182" s="42" t="str">
        <f>+IF($E$5=0,"",'4. '!D7)</f>
        <v/>
      </c>
      <c r="F182" s="42" t="str">
        <f>+IF($F$5=0,"",'4. '!E7)</f>
        <v/>
      </c>
      <c r="G182" s="42" t="str">
        <f>+IF($G$5=0,"",'4. '!F7)</f>
        <v/>
      </c>
      <c r="H182" s="42" t="str">
        <f>+IF($H$5=0,"",'4. '!G7)</f>
        <v/>
      </c>
      <c r="I182" s="42" t="str">
        <f>+IF($I$5=0,"",'4. '!H7)</f>
        <v/>
      </c>
      <c r="J182" s="42" t="str">
        <f>+IF($J$5=0,"",'4. '!I7)</f>
        <v/>
      </c>
      <c r="K182" s="42" t="str">
        <f>+IF($K$5=0,"",'4. '!J7)</f>
        <v/>
      </c>
      <c r="L182" s="42" t="str">
        <f>+IF($L$5=0,"",'4. '!K7)</f>
        <v/>
      </c>
      <c r="M182" s="42" t="str">
        <f>+IF($M$5=0,"",'4. '!L7)</f>
        <v/>
      </c>
      <c r="N182" s="42" t="str">
        <f>+IF($N$5=0,"",'4. '!M7)</f>
        <v/>
      </c>
      <c r="O182" s="42" t="str">
        <f>+IF($O$5=0,"",'4. '!N7)</f>
        <v/>
      </c>
      <c r="P182" s="42" t="str">
        <f>+IF($P$5=0,"",'4. '!O7)</f>
        <v/>
      </c>
      <c r="Q182" s="42" t="str">
        <f>+IF($Q$5=0,"",'4. '!P7)</f>
        <v/>
      </c>
      <c r="R182" s="42" t="str">
        <f>+IF($R$5=0,"",'4. '!Q7)</f>
        <v/>
      </c>
      <c r="S182" s="42" t="str">
        <f>+IF($S$5=0,"",'4. '!R7)</f>
        <v/>
      </c>
      <c r="T182" s="42" t="str">
        <f>+IF($T$5=0,"",'4. '!S7)</f>
        <v/>
      </c>
      <c r="U182" s="42" t="str">
        <f>+IF($U$5=0,"",'4. '!T7)</f>
        <v/>
      </c>
      <c r="V182" s="42" t="str">
        <f>+IF($V$5=0,"",'4. '!U7)</f>
        <v/>
      </c>
      <c r="W182" s="42" t="str">
        <f>+IF($W$5=0,"",'4. '!V7)</f>
        <v/>
      </c>
      <c r="X182" s="42" t="str">
        <f>+IF($X$5=0,"",'4. '!W7)</f>
        <v/>
      </c>
      <c r="Y182" s="42" t="str">
        <f>+IF($Y$5=0,"",'4. '!X7)</f>
        <v/>
      </c>
      <c r="Z182" s="42" t="str">
        <f>+IF($Z$5=0,"",'4. '!Y7)</f>
        <v/>
      </c>
      <c r="AA182" s="42" t="str">
        <f>+IF($AA$5=0,"",'4. '!Z7)</f>
        <v/>
      </c>
      <c r="AB182" s="42" t="str">
        <f>+IF($AB$5=0,"",'4. '!AA7)</f>
        <v/>
      </c>
      <c r="AC182" s="42" t="str">
        <f>+IF($AC$5=0,"",'4. '!AB7)</f>
        <v/>
      </c>
      <c r="AD182" s="42" t="str">
        <f>+IF($AD$5=0,"",'4. '!AC7)</f>
        <v/>
      </c>
      <c r="AE182" s="42" t="str">
        <f>+IF($AE$5=0,"",'4. '!AD7)</f>
        <v/>
      </c>
      <c r="AF182" s="42" t="str">
        <f>+IF($AF$5=0,"",'4. '!AE7)</f>
        <v/>
      </c>
      <c r="AG182" s="50" t="e">
        <f t="shared" si="3"/>
        <v>#DIV/0!</v>
      </c>
      <c r="AH182" s="6"/>
      <c r="AI182"/>
      <c r="AJ182"/>
    </row>
    <row r="183" spans="1:36" s="1" customFormat="1" ht="15.75" thickBot="1" x14ac:dyDescent="0.3">
      <c r="A183"/>
      <c r="B183" s="10" t="s">
        <v>57</v>
      </c>
      <c r="C183" s="42" t="str">
        <f>+IF($C$5=0,"",'4. '!B12)</f>
        <v/>
      </c>
      <c r="D183" s="42" t="str">
        <f>+IF($D$5=0,"",'4. '!C12)</f>
        <v/>
      </c>
      <c r="E183" s="42" t="str">
        <f>+IF($E$5=0,"",'4. '!D12)</f>
        <v/>
      </c>
      <c r="F183" s="42" t="str">
        <f>+IF($F$5=0,"",'4. '!E12)</f>
        <v/>
      </c>
      <c r="G183" s="42" t="str">
        <f>+IF($G$5=0,"",'4. '!F12)</f>
        <v/>
      </c>
      <c r="H183" s="42" t="str">
        <f>+IF($H$5=0,"",'4. '!G12)</f>
        <v/>
      </c>
      <c r="I183" s="42" t="str">
        <f>+IF($I$5=0,"",'4. '!H12)</f>
        <v/>
      </c>
      <c r="J183" s="42" t="str">
        <f>+IF($J$5=0,"",'4. '!I12)</f>
        <v/>
      </c>
      <c r="K183" s="42" t="str">
        <f>+IF($K$5=0,"",'4. '!J12)</f>
        <v/>
      </c>
      <c r="L183" s="42" t="str">
        <f>+IF($L$5=0,"",'4. '!K12)</f>
        <v/>
      </c>
      <c r="M183" s="42" t="str">
        <f>+IF($M$5=0,"",'4. '!L12)</f>
        <v/>
      </c>
      <c r="N183" s="42" t="str">
        <f>+IF($N$5=0,"",'4. '!M12)</f>
        <v/>
      </c>
      <c r="O183" s="42" t="str">
        <f>+IF($O$5=0,"",'4. '!N12)</f>
        <v/>
      </c>
      <c r="P183" s="42" t="str">
        <f>+IF($P$5=0,"",'4. '!O12)</f>
        <v/>
      </c>
      <c r="Q183" s="42" t="str">
        <f>+IF($Q$5=0,"",'4. '!P12)</f>
        <v/>
      </c>
      <c r="R183" s="42" t="str">
        <f>+IF($R$5=0,"",'4. '!Q12)</f>
        <v/>
      </c>
      <c r="S183" s="42" t="str">
        <f>+IF($S$5=0,"",'4. '!R12)</f>
        <v/>
      </c>
      <c r="T183" s="42" t="str">
        <f>+IF($T$5=0,"",'4. '!S12)</f>
        <v/>
      </c>
      <c r="U183" s="42" t="str">
        <f>+IF($U$5=0,"",'4. '!T12)</f>
        <v/>
      </c>
      <c r="V183" s="42" t="str">
        <f>+IF($V$5=0,"",'4. '!U12)</f>
        <v/>
      </c>
      <c r="W183" s="42" t="str">
        <f>+IF($W$5=0,"",'4. '!V12)</f>
        <v/>
      </c>
      <c r="X183" s="42" t="str">
        <f>+IF($X$5=0,"",'4. '!W12)</f>
        <v/>
      </c>
      <c r="Y183" s="42" t="str">
        <f>+IF($Y$5=0,"",'4. '!X12)</f>
        <v/>
      </c>
      <c r="Z183" s="42" t="str">
        <f>+IF($Z$5=0,"",'4. '!Y12)</f>
        <v/>
      </c>
      <c r="AA183" s="42" t="str">
        <f>+IF($AA$5=0,"",'4. '!Z12)</f>
        <v/>
      </c>
      <c r="AB183" s="42" t="str">
        <f>+IF($AB$5=0,"",'4. '!AA12)</f>
        <v/>
      </c>
      <c r="AC183" s="42" t="str">
        <f>+IF($AC$5=0,"",'4. '!AB12)</f>
        <v/>
      </c>
      <c r="AD183" s="42" t="str">
        <f>+IF($AD$5=0,"",'4. '!AC12)</f>
        <v/>
      </c>
      <c r="AE183" s="42" t="str">
        <f>+IF($AE$5=0,"",'4. '!AD12)</f>
        <v/>
      </c>
      <c r="AF183" s="42" t="str">
        <f>+IF($AF$5=0,"",'4. '!AE12)</f>
        <v/>
      </c>
      <c r="AG183" s="50" t="e">
        <f t="shared" si="3"/>
        <v>#DIV/0!</v>
      </c>
      <c r="AH183" s="6"/>
      <c r="AI183"/>
      <c r="AJ183"/>
    </row>
    <row r="184" spans="1:36" s="1" customFormat="1" ht="15.75" thickBot="1" x14ac:dyDescent="0.3">
      <c r="A184"/>
      <c r="B184" s="11" t="s">
        <v>54</v>
      </c>
      <c r="C184" s="42" t="str">
        <f>+IF($C$5=0,"",'4. '!B9)</f>
        <v/>
      </c>
      <c r="D184" s="42" t="str">
        <f>+IF($D$5=0,"",'4. '!C9)</f>
        <v/>
      </c>
      <c r="E184" s="42" t="str">
        <f>+IF($E$5=0,"",'4. '!D9)</f>
        <v/>
      </c>
      <c r="F184" s="42" t="str">
        <f>+IF($F$5=0,"",'4. '!E9)</f>
        <v/>
      </c>
      <c r="G184" s="42" t="str">
        <f>+IF($G$5=0,"",'4. '!F9)</f>
        <v/>
      </c>
      <c r="H184" s="42" t="str">
        <f>+IF($H$5=0,"",'4. '!G9)</f>
        <v/>
      </c>
      <c r="I184" s="42" t="str">
        <f>+IF($I$5=0,"",'4. '!H9)</f>
        <v/>
      </c>
      <c r="J184" s="42" t="str">
        <f>+IF($J$5=0,"",'4. '!I9)</f>
        <v/>
      </c>
      <c r="K184" s="42" t="str">
        <f>+IF($K$5=0,"",'4. '!J9)</f>
        <v/>
      </c>
      <c r="L184" s="42" t="str">
        <f>+IF($L$5=0,"",'4. '!K9)</f>
        <v/>
      </c>
      <c r="M184" s="42" t="str">
        <f>+IF($M$5=0,"",'4. '!L9)</f>
        <v/>
      </c>
      <c r="N184" s="42" t="str">
        <f>+IF($N$5=0,"",'4. '!M9)</f>
        <v/>
      </c>
      <c r="O184" s="42" t="str">
        <f>+IF($O$5=0,"",'4. '!N9)</f>
        <v/>
      </c>
      <c r="P184" s="42" t="str">
        <f>+IF($P$5=0,"",'4. '!O9)</f>
        <v/>
      </c>
      <c r="Q184" s="42" t="str">
        <f>+IF($Q$5=0,"",'4. '!P9)</f>
        <v/>
      </c>
      <c r="R184" s="42" t="str">
        <f>+IF($R$5=0,"",'4. '!Q9)</f>
        <v/>
      </c>
      <c r="S184" s="42" t="str">
        <f>+IF($S$5=0,"",'4. '!R9)</f>
        <v/>
      </c>
      <c r="T184" s="42" t="str">
        <f>+IF($T$5=0,"",'4. '!S9)</f>
        <v/>
      </c>
      <c r="U184" s="42" t="str">
        <f>+IF($U$5=0,"",'4. '!T9)</f>
        <v/>
      </c>
      <c r="V184" s="42" t="str">
        <f>+IF($V$5=0,"",'4. '!U9)</f>
        <v/>
      </c>
      <c r="W184" s="42" t="str">
        <f>+IF($W$5=0,"",'4. '!V9)</f>
        <v/>
      </c>
      <c r="X184" s="42" t="str">
        <f>+IF($X$5=0,"",'4. '!W9)</f>
        <v/>
      </c>
      <c r="Y184" s="42" t="str">
        <f>+IF($Y$5=0,"",'4. '!X9)</f>
        <v/>
      </c>
      <c r="Z184" s="42" t="str">
        <f>+IF($Z$5=0,"",'4. '!Y9)</f>
        <v/>
      </c>
      <c r="AA184" s="42" t="str">
        <f>+IF($AA$5=0,"",'4. '!Z9)</f>
        <v/>
      </c>
      <c r="AB184" s="42" t="str">
        <f>+IF($AB$5=0,"",'4. '!AA9)</f>
        <v/>
      </c>
      <c r="AC184" s="42" t="str">
        <f>+IF($AC$5=0,"",'4. '!AB9)</f>
        <v/>
      </c>
      <c r="AD184" s="42" t="str">
        <f>+IF($AD$5=0,"",'4. '!AC9)</f>
        <v/>
      </c>
      <c r="AE184" s="42" t="str">
        <f>+IF($AE$5=0,"",'4. '!AD9)</f>
        <v/>
      </c>
      <c r="AF184" s="42" t="str">
        <f>+IF($AF$5=0,"",'4. '!AE9)</f>
        <v/>
      </c>
      <c r="AG184" s="50" t="e">
        <f t="shared" si="3"/>
        <v>#DIV/0!</v>
      </c>
      <c r="AH184" s="6"/>
      <c r="AI184"/>
      <c r="AJ184"/>
    </row>
    <row r="185" spans="1:36" s="1" customFormat="1" ht="15.75" thickBot="1" x14ac:dyDescent="0.3">
      <c r="A185"/>
      <c r="B185" s="10" t="s">
        <v>189</v>
      </c>
      <c r="C185" s="42" t="str">
        <f>+IF($C$5=0,"",'4. '!B131)</f>
        <v/>
      </c>
      <c r="D185" s="42" t="str">
        <f>+IF($D$5=0,"",'4. '!C131)</f>
        <v/>
      </c>
      <c r="E185" s="42" t="str">
        <f>+IF($E$5=0,"",'4. '!D131)</f>
        <v/>
      </c>
      <c r="F185" s="42" t="str">
        <f>+IF($F$5=0,"",'4. '!E131)</f>
        <v/>
      </c>
      <c r="G185" s="42" t="str">
        <f>+IF($G$5=0,"",'4. '!F131)</f>
        <v/>
      </c>
      <c r="H185" s="42" t="str">
        <f>+IF($H$5=0,"",'4. '!G131)</f>
        <v/>
      </c>
      <c r="I185" s="42" t="str">
        <f>+IF($I$5=0,"",'4. '!H131)</f>
        <v/>
      </c>
      <c r="J185" s="42" t="str">
        <f>+IF($J$5=0,"",'4. '!I131)</f>
        <v/>
      </c>
      <c r="K185" s="42" t="str">
        <f>+IF($K$5=0,"",'4. '!J131)</f>
        <v/>
      </c>
      <c r="L185" s="42" t="str">
        <f>+IF($L$5=0,"",'4. '!K131)</f>
        <v/>
      </c>
      <c r="M185" s="42" t="str">
        <f>+IF($M$5=0,"",'4. '!L131)</f>
        <v/>
      </c>
      <c r="N185" s="42" t="str">
        <f>+IF($N$5=0,"",'4. '!M131)</f>
        <v/>
      </c>
      <c r="O185" s="42" t="str">
        <f>+IF($O$5=0,"",'4. '!N131)</f>
        <v/>
      </c>
      <c r="P185" s="42" t="str">
        <f>+IF($P$5=0,"",'4. '!O131)</f>
        <v/>
      </c>
      <c r="Q185" s="42" t="str">
        <f>+IF($Q$5=0,"",'4. '!P131)</f>
        <v/>
      </c>
      <c r="R185" s="42" t="str">
        <f>+IF($R$5=0,"",'4. '!Q131)</f>
        <v/>
      </c>
      <c r="S185" s="42" t="str">
        <f>+IF($S$5=0,"",'4. '!R131)</f>
        <v/>
      </c>
      <c r="T185" s="42" t="str">
        <f>+IF($T$5=0,"",'4. '!S131)</f>
        <v/>
      </c>
      <c r="U185" s="42" t="str">
        <f>+IF($U$5=0,"",'4. '!T131)</f>
        <v/>
      </c>
      <c r="V185" s="42" t="str">
        <f>+IF($V$5=0,"",'4. '!U131)</f>
        <v/>
      </c>
      <c r="W185" s="42" t="str">
        <f>+IF($W$5=0,"",'4. '!V131)</f>
        <v/>
      </c>
      <c r="X185" s="42" t="str">
        <f>+IF($X$5=0,"",'4. '!W131)</f>
        <v/>
      </c>
      <c r="Y185" s="42" t="str">
        <f>+IF($Y$5=0,"",'4. '!X131)</f>
        <v/>
      </c>
      <c r="Z185" s="42" t="str">
        <f>+IF($Z$5=0,"",'4. '!Y131)</f>
        <v/>
      </c>
      <c r="AA185" s="42" t="str">
        <f>+IF($AA$5=0,"",'4. '!Z131)</f>
        <v/>
      </c>
      <c r="AB185" s="42" t="str">
        <f>+IF($AB$5=0,"",'4. '!AA131)</f>
        <v/>
      </c>
      <c r="AC185" s="42" t="str">
        <f>+IF($AC$5=0,"",'4. '!AB131)</f>
        <v/>
      </c>
      <c r="AD185" s="42" t="str">
        <f>+IF($AD$5=0,"",'4. '!AC131)</f>
        <v/>
      </c>
      <c r="AE185" s="42" t="str">
        <f>+IF($AE$5=0,"",'4. '!AD131)</f>
        <v/>
      </c>
      <c r="AF185" s="42" t="str">
        <f>+IF($AF$5=0,"",'4. '!AE131)</f>
        <v/>
      </c>
      <c r="AG185" s="50" t="e">
        <f t="shared" si="3"/>
        <v>#DIV/0!</v>
      </c>
      <c r="AH185" s="6"/>
      <c r="AI185"/>
      <c r="AJ185"/>
    </row>
    <row r="186" spans="1:36" s="1" customFormat="1" ht="15.75" thickBot="1" x14ac:dyDescent="0.3">
      <c r="A186"/>
      <c r="B186" s="11" t="s">
        <v>191</v>
      </c>
      <c r="C186" s="42" t="str">
        <f>+IF($C$5=0,"",'4. '!B133)</f>
        <v/>
      </c>
      <c r="D186" s="42" t="str">
        <f>+IF($D$5=0,"",'4. '!C133)</f>
        <v/>
      </c>
      <c r="E186" s="42" t="str">
        <f>+IF($E$5=0,"",'4. '!D133)</f>
        <v/>
      </c>
      <c r="F186" s="42" t="str">
        <f>+IF($F$5=0,"",'4. '!E133)</f>
        <v/>
      </c>
      <c r="G186" s="42" t="str">
        <f>+IF($G$5=0,"",'4. '!F133)</f>
        <v/>
      </c>
      <c r="H186" s="42" t="str">
        <f>+IF($H$5=0,"",'4. '!G133)</f>
        <v/>
      </c>
      <c r="I186" s="42" t="str">
        <f>+IF($I$5=0,"",'4. '!H133)</f>
        <v/>
      </c>
      <c r="J186" s="42" t="str">
        <f>+IF($J$5=0,"",'4. '!I133)</f>
        <v/>
      </c>
      <c r="K186" s="42" t="str">
        <f>+IF($K$5=0,"",'4. '!J133)</f>
        <v/>
      </c>
      <c r="L186" s="42" t="str">
        <f>+IF($L$5=0,"",'4. '!K133)</f>
        <v/>
      </c>
      <c r="M186" s="42" t="str">
        <f>+IF($M$5=0,"",'4. '!L133)</f>
        <v/>
      </c>
      <c r="N186" s="42" t="str">
        <f>+IF($N$5=0,"",'4. '!M133)</f>
        <v/>
      </c>
      <c r="O186" s="42" t="str">
        <f>+IF($O$5=0,"",'4. '!N133)</f>
        <v/>
      </c>
      <c r="P186" s="42" t="str">
        <f>+IF($P$5=0,"",'4. '!O133)</f>
        <v/>
      </c>
      <c r="Q186" s="42" t="str">
        <f>+IF($Q$5=0,"",'4. '!P133)</f>
        <v/>
      </c>
      <c r="R186" s="42" t="str">
        <f>+IF($R$5=0,"",'4. '!Q133)</f>
        <v/>
      </c>
      <c r="S186" s="42" t="str">
        <f>+IF($S$5=0,"",'4. '!R133)</f>
        <v/>
      </c>
      <c r="T186" s="42" t="str">
        <f>+IF($T$5=0,"",'4. '!S133)</f>
        <v/>
      </c>
      <c r="U186" s="42" t="str">
        <f>+IF($U$5=0,"",'4. '!T133)</f>
        <v/>
      </c>
      <c r="V186" s="42" t="str">
        <f>+IF($V$5=0,"",'4. '!U133)</f>
        <v/>
      </c>
      <c r="W186" s="42" t="str">
        <f>+IF($W$5=0,"",'4. '!V133)</f>
        <v/>
      </c>
      <c r="X186" s="42" t="str">
        <f>+IF($X$5=0,"",'4. '!W133)</f>
        <v/>
      </c>
      <c r="Y186" s="42" t="str">
        <f>+IF($Y$5=0,"",'4. '!X133)</f>
        <v/>
      </c>
      <c r="Z186" s="42" t="str">
        <f>+IF($Z$5=0,"",'4. '!Y133)</f>
        <v/>
      </c>
      <c r="AA186" s="42" t="str">
        <f>+IF($AA$5=0,"",'4. '!Z133)</f>
        <v/>
      </c>
      <c r="AB186" s="42" t="str">
        <f>+IF($AB$5=0,"",'4. '!AA133)</f>
        <v/>
      </c>
      <c r="AC186" s="42" t="str">
        <f>+IF($AC$5=0,"",'4. '!AB133)</f>
        <v/>
      </c>
      <c r="AD186" s="42" t="str">
        <f>+IF($AD$5=0,"",'4. '!AC133)</f>
        <v/>
      </c>
      <c r="AE186" s="42" t="str">
        <f>+IF($AE$5=0,"",'4. '!AD133)</f>
        <v/>
      </c>
      <c r="AF186" s="42" t="str">
        <f>+IF($AF$5=0,"",'4. '!AE133)</f>
        <v/>
      </c>
      <c r="AG186" s="50" t="e">
        <f t="shared" si="3"/>
        <v>#DIV/0!</v>
      </c>
      <c r="AH186" s="6"/>
      <c r="AI186"/>
      <c r="AJ186"/>
    </row>
    <row r="187" spans="1:36" s="1" customFormat="1" ht="15.75" thickBot="1" x14ac:dyDescent="0.3">
      <c r="A187"/>
      <c r="B187" s="10" t="s">
        <v>96</v>
      </c>
      <c r="C187" s="42" t="str">
        <f>+IF($C$5=0,"",'4. '!B50)</f>
        <v/>
      </c>
      <c r="D187" s="42" t="str">
        <f>+IF($D$5=0,"",'4. '!C50)</f>
        <v/>
      </c>
      <c r="E187" s="42" t="str">
        <f>+IF($E$5=0,"",'4. '!D50)</f>
        <v/>
      </c>
      <c r="F187" s="42" t="str">
        <f>+IF($F$5=0,"",'4. '!E50)</f>
        <v/>
      </c>
      <c r="G187" s="42" t="str">
        <f>+IF($G$5=0,"",'4. '!F50)</f>
        <v/>
      </c>
      <c r="H187" s="42" t="str">
        <f>+IF($H$5=0,"",'4. '!G50)</f>
        <v/>
      </c>
      <c r="I187" s="42" t="str">
        <f>+IF($I$5=0,"",'4. '!H50)</f>
        <v/>
      </c>
      <c r="J187" s="42" t="str">
        <f>+IF($J$5=0,"",'4. '!I50)</f>
        <v/>
      </c>
      <c r="K187" s="42" t="str">
        <f>+IF($K$5=0,"",'4. '!J50)</f>
        <v/>
      </c>
      <c r="L187" s="42" t="str">
        <f>+IF($L$5=0,"",'4. '!K50)</f>
        <v/>
      </c>
      <c r="M187" s="42" t="str">
        <f>+IF($M$5=0,"",'4. '!L50)</f>
        <v/>
      </c>
      <c r="N187" s="42" t="str">
        <f>+IF($N$5=0,"",'4. '!M50)</f>
        <v/>
      </c>
      <c r="O187" s="42" t="str">
        <f>+IF($O$5=0,"",'4. '!N50)</f>
        <v/>
      </c>
      <c r="P187" s="42" t="str">
        <f>+IF($P$5=0,"",'4. '!O50)</f>
        <v/>
      </c>
      <c r="Q187" s="42" t="str">
        <f>+IF($Q$5=0,"",'4. '!P50)</f>
        <v/>
      </c>
      <c r="R187" s="42" t="str">
        <f>+IF($R$5=0,"",'4. '!Q50)</f>
        <v/>
      </c>
      <c r="S187" s="42" t="str">
        <f>+IF($S$5=0,"",'4. '!R50)</f>
        <v/>
      </c>
      <c r="T187" s="42" t="str">
        <f>+IF($T$5=0,"",'4. '!S50)</f>
        <v/>
      </c>
      <c r="U187" s="42" t="str">
        <f>+IF($U$5=0,"",'4. '!T50)</f>
        <v/>
      </c>
      <c r="V187" s="42" t="str">
        <f>+IF($V$5=0,"",'4. '!U50)</f>
        <v/>
      </c>
      <c r="W187" s="42" t="str">
        <f>+IF($W$5=0,"",'4. '!V50)</f>
        <v/>
      </c>
      <c r="X187" s="42" t="str">
        <f>+IF($X$5=0,"",'4. '!W50)</f>
        <v/>
      </c>
      <c r="Y187" s="42" t="str">
        <f>+IF($Y$5=0,"",'4. '!X50)</f>
        <v/>
      </c>
      <c r="Z187" s="42" t="str">
        <f>+IF($Z$5=0,"",'4. '!Y50)</f>
        <v/>
      </c>
      <c r="AA187" s="42" t="str">
        <f>+IF($AA$5=0,"",'4. '!Z50)</f>
        <v/>
      </c>
      <c r="AB187" s="42" t="str">
        <f>+IF($AB$5=0,"",'4. '!AA50)</f>
        <v/>
      </c>
      <c r="AC187" s="42" t="str">
        <f>+IF($AC$5=0,"",'4. '!AB50)</f>
        <v/>
      </c>
      <c r="AD187" s="42" t="str">
        <f>+IF($AD$5=0,"",'4. '!AC50)</f>
        <v/>
      </c>
      <c r="AE187" s="42" t="str">
        <f>+IF($AE$5=0,"",'4. '!AD50)</f>
        <v/>
      </c>
      <c r="AF187" s="42" t="str">
        <f>+IF($AF$5=0,"",'4. '!AE50)</f>
        <v/>
      </c>
      <c r="AG187" s="50" t="e">
        <f t="shared" si="3"/>
        <v>#DIV/0!</v>
      </c>
      <c r="AH187" s="6"/>
      <c r="AI187"/>
      <c r="AJ187"/>
    </row>
    <row r="188" spans="1:36" s="1" customFormat="1" ht="15.75" thickBot="1" x14ac:dyDescent="0.3">
      <c r="A188"/>
      <c r="B188" s="11" t="s">
        <v>98</v>
      </c>
      <c r="C188" s="42" t="str">
        <f>+IF($C$5=0,"",'4. '!B52)</f>
        <v/>
      </c>
      <c r="D188" s="42" t="str">
        <f>+IF($D$5=0,"",'4. '!C52)</f>
        <v/>
      </c>
      <c r="E188" s="42" t="str">
        <f>+IF($E$5=0,"",'4. '!D52)</f>
        <v/>
      </c>
      <c r="F188" s="42" t="str">
        <f>+IF($F$5=0,"",'4. '!E52)</f>
        <v/>
      </c>
      <c r="G188" s="42" t="str">
        <f>+IF($G$5=0,"",'4. '!F52)</f>
        <v/>
      </c>
      <c r="H188" s="42" t="str">
        <f>+IF($H$5=0,"",'4. '!G52)</f>
        <v/>
      </c>
      <c r="I188" s="42" t="str">
        <f>+IF($I$5=0,"",'4. '!H52)</f>
        <v/>
      </c>
      <c r="J188" s="42" t="str">
        <f>+IF($J$5=0,"",'4. '!I52)</f>
        <v/>
      </c>
      <c r="K188" s="42" t="str">
        <f>+IF($K$5=0,"",'4. '!J52)</f>
        <v/>
      </c>
      <c r="L188" s="42" t="str">
        <f>+IF($L$5=0,"",'4. '!K52)</f>
        <v/>
      </c>
      <c r="M188" s="42" t="str">
        <f>+IF($M$5=0,"",'4. '!L52)</f>
        <v/>
      </c>
      <c r="N188" s="42" t="str">
        <f>+IF($N$5=0,"",'4. '!M52)</f>
        <v/>
      </c>
      <c r="O188" s="42" t="str">
        <f>+IF($O$5=0,"",'4. '!N52)</f>
        <v/>
      </c>
      <c r="P188" s="42" t="str">
        <f>+IF($P$5=0,"",'4. '!O52)</f>
        <v/>
      </c>
      <c r="Q188" s="42" t="str">
        <f>+IF($Q$5=0,"",'4. '!P52)</f>
        <v/>
      </c>
      <c r="R188" s="42" t="str">
        <f>+IF($R$5=0,"",'4. '!Q52)</f>
        <v/>
      </c>
      <c r="S188" s="42" t="str">
        <f>+IF($S$5=0,"",'4. '!R52)</f>
        <v/>
      </c>
      <c r="T188" s="42" t="str">
        <f>+IF($T$5=0,"",'4. '!S52)</f>
        <v/>
      </c>
      <c r="U188" s="42" t="str">
        <f>+IF($U$5=0,"",'4. '!T52)</f>
        <v/>
      </c>
      <c r="V188" s="42" t="str">
        <f>+IF($V$5=0,"",'4. '!U52)</f>
        <v/>
      </c>
      <c r="W188" s="42" t="str">
        <f>+IF($W$5=0,"",'4. '!V52)</f>
        <v/>
      </c>
      <c r="X188" s="42" t="str">
        <f>+IF($X$5=0,"",'4. '!W52)</f>
        <v/>
      </c>
      <c r="Y188" s="42" t="str">
        <f>+IF($Y$5=0,"",'4. '!X52)</f>
        <v/>
      </c>
      <c r="Z188" s="42" t="str">
        <f>+IF($Z$5=0,"",'4. '!Y52)</f>
        <v/>
      </c>
      <c r="AA188" s="42" t="str">
        <f>+IF($AA$5=0,"",'4. '!Z52)</f>
        <v/>
      </c>
      <c r="AB188" s="42" t="str">
        <f>+IF($AB$5=0,"",'4. '!AA52)</f>
        <v/>
      </c>
      <c r="AC188" s="42" t="str">
        <f>+IF($AC$5=0,"",'4. '!AB52)</f>
        <v/>
      </c>
      <c r="AD188" s="42" t="str">
        <f>+IF($AD$5=0,"",'4. '!AC52)</f>
        <v/>
      </c>
      <c r="AE188" s="42" t="str">
        <f>+IF($AE$5=0,"",'4. '!AD52)</f>
        <v/>
      </c>
      <c r="AF188" s="42" t="str">
        <f>+IF($AF$5=0,"",'4. '!AE52)</f>
        <v/>
      </c>
      <c r="AG188" s="50" t="e">
        <f t="shared" si="3"/>
        <v>#DIV/0!</v>
      </c>
      <c r="AH188" s="6"/>
      <c r="AI188"/>
      <c r="AJ188"/>
    </row>
    <row r="189" spans="1:36" s="1" customFormat="1" ht="15.75" thickBot="1" x14ac:dyDescent="0.3">
      <c r="A189"/>
      <c r="B189" s="10" t="s">
        <v>196</v>
      </c>
      <c r="C189" s="42" t="str">
        <f>+IF($C$5=0,"",'4. '!B138)</f>
        <v/>
      </c>
      <c r="D189" s="42" t="str">
        <f>+IF($D$5=0,"",'4. '!C138)</f>
        <v/>
      </c>
      <c r="E189" s="42" t="str">
        <f>+IF($E$5=0,"",'4. '!D138)</f>
        <v/>
      </c>
      <c r="F189" s="42" t="str">
        <f>+IF($F$5=0,"",'4. '!E138)</f>
        <v/>
      </c>
      <c r="G189" s="42" t="str">
        <f>+IF($G$5=0,"",'4. '!F138)</f>
        <v/>
      </c>
      <c r="H189" s="42" t="str">
        <f>+IF($H$5=0,"",'4. '!G138)</f>
        <v/>
      </c>
      <c r="I189" s="42" t="str">
        <f>+IF($I$5=0,"",'4. '!H138)</f>
        <v/>
      </c>
      <c r="J189" s="42" t="str">
        <f>+IF($J$5=0,"",'4. '!I138)</f>
        <v/>
      </c>
      <c r="K189" s="42" t="str">
        <f>+IF($K$5=0,"",'4. '!J138)</f>
        <v/>
      </c>
      <c r="L189" s="42" t="str">
        <f>+IF($L$5=0,"",'4. '!K138)</f>
        <v/>
      </c>
      <c r="M189" s="42" t="str">
        <f>+IF($M$5=0,"",'4. '!L138)</f>
        <v/>
      </c>
      <c r="N189" s="42" t="str">
        <f>+IF($N$5=0,"",'4. '!M138)</f>
        <v/>
      </c>
      <c r="O189" s="42" t="str">
        <f>+IF($O$5=0,"",'4. '!N138)</f>
        <v/>
      </c>
      <c r="P189" s="42" t="str">
        <f>+IF($P$5=0,"",'4. '!O138)</f>
        <v/>
      </c>
      <c r="Q189" s="42" t="str">
        <f>+IF($Q$5=0,"",'4. '!P138)</f>
        <v/>
      </c>
      <c r="R189" s="42" t="str">
        <f>+IF($R$5=0,"",'4. '!Q138)</f>
        <v/>
      </c>
      <c r="S189" s="42" t="str">
        <f>+IF($S$5=0,"",'4. '!R138)</f>
        <v/>
      </c>
      <c r="T189" s="42" t="str">
        <f>+IF($T$5=0,"",'4. '!S138)</f>
        <v/>
      </c>
      <c r="U189" s="42" t="str">
        <f>+IF($U$5=0,"",'4. '!T138)</f>
        <v/>
      </c>
      <c r="V189" s="42" t="str">
        <f>+IF($V$5=0,"",'4. '!U138)</f>
        <v/>
      </c>
      <c r="W189" s="42" t="str">
        <f>+IF($W$5=0,"",'4. '!V138)</f>
        <v/>
      </c>
      <c r="X189" s="42" t="str">
        <f>+IF($X$5=0,"",'4. '!W138)</f>
        <v/>
      </c>
      <c r="Y189" s="42" t="str">
        <f>+IF($Y$5=0,"",'4. '!X138)</f>
        <v/>
      </c>
      <c r="Z189" s="42" t="str">
        <f>+IF($Z$5=0,"",'4. '!Y138)</f>
        <v/>
      </c>
      <c r="AA189" s="42" t="str">
        <f>+IF($AA$5=0,"",'4. '!Z138)</f>
        <v/>
      </c>
      <c r="AB189" s="42" t="str">
        <f>+IF($AB$5=0,"",'4. '!AA138)</f>
        <v/>
      </c>
      <c r="AC189" s="42" t="str">
        <f>+IF($AC$5=0,"",'4. '!AB138)</f>
        <v/>
      </c>
      <c r="AD189" s="42" t="str">
        <f>+IF($AD$5=0,"",'4. '!AC138)</f>
        <v/>
      </c>
      <c r="AE189" s="42" t="str">
        <f>+IF($AE$5=0,"",'4. '!AD138)</f>
        <v/>
      </c>
      <c r="AF189" s="42" t="str">
        <f>+IF($AF$5=0,"",'4. '!AE138)</f>
        <v/>
      </c>
      <c r="AG189" s="50" t="e">
        <f t="shared" si="3"/>
        <v>#DIV/0!</v>
      </c>
      <c r="AH189" s="6"/>
      <c r="AI189"/>
      <c r="AJ189"/>
    </row>
    <row r="190" spans="1:36" s="1" customFormat="1" ht="15.75" thickBot="1" x14ac:dyDescent="0.3">
      <c r="A190"/>
      <c r="B190" s="11" t="s">
        <v>193</v>
      </c>
      <c r="C190" s="42" t="str">
        <f>+IF($C$5=0,"",'4. '!B135)</f>
        <v/>
      </c>
      <c r="D190" s="42" t="str">
        <f>+IF($D$5=0,"",'4. '!C135)</f>
        <v/>
      </c>
      <c r="E190" s="42" t="str">
        <f>+IF($E$5=0,"",'4. '!D135)</f>
        <v/>
      </c>
      <c r="F190" s="42" t="str">
        <f>+IF($F$5=0,"",'4. '!E135)</f>
        <v/>
      </c>
      <c r="G190" s="42" t="str">
        <f>+IF($G$5=0,"",'4. '!F135)</f>
        <v/>
      </c>
      <c r="H190" s="42" t="str">
        <f>+IF($H$5=0,"",'4. '!G135)</f>
        <v/>
      </c>
      <c r="I190" s="42" t="str">
        <f>+IF($I$5=0,"",'4. '!H135)</f>
        <v/>
      </c>
      <c r="J190" s="42" t="str">
        <f>+IF($J$5=0,"",'4. '!I135)</f>
        <v/>
      </c>
      <c r="K190" s="42" t="str">
        <f>+IF($K$5=0,"",'4. '!J135)</f>
        <v/>
      </c>
      <c r="L190" s="42" t="str">
        <f>+IF($L$5=0,"",'4. '!K135)</f>
        <v/>
      </c>
      <c r="M190" s="42" t="str">
        <f>+IF($M$5=0,"",'4. '!L135)</f>
        <v/>
      </c>
      <c r="N190" s="42" t="str">
        <f>+IF($N$5=0,"",'4. '!M135)</f>
        <v/>
      </c>
      <c r="O190" s="42" t="str">
        <f>+IF($O$5=0,"",'4. '!N135)</f>
        <v/>
      </c>
      <c r="P190" s="42" t="str">
        <f>+IF($P$5=0,"",'4. '!O135)</f>
        <v/>
      </c>
      <c r="Q190" s="42" t="str">
        <f>+IF($Q$5=0,"",'4. '!P135)</f>
        <v/>
      </c>
      <c r="R190" s="42" t="str">
        <f>+IF($R$5=0,"",'4. '!Q135)</f>
        <v/>
      </c>
      <c r="S190" s="42" t="str">
        <f>+IF($S$5=0,"",'4. '!R135)</f>
        <v/>
      </c>
      <c r="T190" s="42" t="str">
        <f>+IF($T$5=0,"",'4. '!S135)</f>
        <v/>
      </c>
      <c r="U190" s="42" t="str">
        <f>+IF($U$5=0,"",'4. '!T135)</f>
        <v/>
      </c>
      <c r="V190" s="42" t="str">
        <f>+IF($V$5=0,"",'4. '!U135)</f>
        <v/>
      </c>
      <c r="W190" s="42" t="str">
        <f>+IF($W$5=0,"",'4. '!V135)</f>
        <v/>
      </c>
      <c r="X190" s="42" t="str">
        <f>+IF($X$5=0,"",'4. '!W135)</f>
        <v/>
      </c>
      <c r="Y190" s="42" t="str">
        <f>+IF($Y$5=0,"",'4. '!X135)</f>
        <v/>
      </c>
      <c r="Z190" s="42" t="str">
        <f>+IF($Z$5=0,"",'4. '!Y135)</f>
        <v/>
      </c>
      <c r="AA190" s="42" t="str">
        <f>+IF($AA$5=0,"",'4. '!Z135)</f>
        <v/>
      </c>
      <c r="AB190" s="42" t="str">
        <f>+IF($AB$5=0,"",'4. '!AA135)</f>
        <v/>
      </c>
      <c r="AC190" s="42" t="str">
        <f>+IF($AC$5=0,"",'4. '!AB135)</f>
        <v/>
      </c>
      <c r="AD190" s="42" t="str">
        <f>+IF($AD$5=0,"",'4. '!AC135)</f>
        <v/>
      </c>
      <c r="AE190" s="42" t="str">
        <f>+IF($AE$5=0,"",'4. '!AD135)</f>
        <v/>
      </c>
      <c r="AF190" s="42" t="str">
        <f>+IF($AF$5=0,"",'4. '!AE135)</f>
        <v/>
      </c>
      <c r="AG190" s="50" t="e">
        <f t="shared" si="3"/>
        <v>#DIV/0!</v>
      </c>
      <c r="AH190" s="6"/>
      <c r="AI190"/>
      <c r="AJ190"/>
    </row>
    <row r="191" spans="1:36" s="1" customFormat="1" ht="15.75" thickBot="1" x14ac:dyDescent="0.3">
      <c r="A191"/>
      <c r="B191" s="10" t="s">
        <v>103</v>
      </c>
      <c r="C191" s="42" t="str">
        <f>+IF($C$5=0,"",'4. '!B57)</f>
        <v/>
      </c>
      <c r="D191" s="42" t="str">
        <f>+IF($D$5=0,"",'4. '!C57)</f>
        <v/>
      </c>
      <c r="E191" s="42" t="str">
        <f>+IF($E$5=0,"",'4. '!D57)</f>
        <v/>
      </c>
      <c r="F191" s="42" t="str">
        <f>+IF($F$5=0,"",'4. '!E57)</f>
        <v/>
      </c>
      <c r="G191" s="42" t="str">
        <f>+IF($G$5=0,"",'4. '!F57)</f>
        <v/>
      </c>
      <c r="H191" s="42" t="str">
        <f>+IF($H$5=0,"",'4. '!G57)</f>
        <v/>
      </c>
      <c r="I191" s="42" t="str">
        <f>+IF($I$5=0,"",'4. '!H57)</f>
        <v/>
      </c>
      <c r="J191" s="42" t="str">
        <f>+IF($J$5=0,"",'4. '!I57)</f>
        <v/>
      </c>
      <c r="K191" s="42" t="str">
        <f>+IF($K$5=0,"",'4. '!J57)</f>
        <v/>
      </c>
      <c r="L191" s="42" t="str">
        <f>+IF($L$5=0,"",'4. '!K57)</f>
        <v/>
      </c>
      <c r="M191" s="42" t="str">
        <f>+IF($M$5=0,"",'4. '!L57)</f>
        <v/>
      </c>
      <c r="N191" s="42" t="str">
        <f>+IF($N$5=0,"",'4. '!M57)</f>
        <v/>
      </c>
      <c r="O191" s="42" t="str">
        <f>+IF($O$5=0,"",'4. '!N57)</f>
        <v/>
      </c>
      <c r="P191" s="42" t="str">
        <f>+IF($P$5=0,"",'4. '!O57)</f>
        <v/>
      </c>
      <c r="Q191" s="42" t="str">
        <f>+IF($Q$5=0,"",'4. '!P57)</f>
        <v/>
      </c>
      <c r="R191" s="42" t="str">
        <f>+IF($R$5=0,"",'4. '!Q57)</f>
        <v/>
      </c>
      <c r="S191" s="42" t="str">
        <f>+IF($S$5=0,"",'4. '!R57)</f>
        <v/>
      </c>
      <c r="T191" s="42" t="str">
        <f>+IF($T$5=0,"",'4. '!S57)</f>
        <v/>
      </c>
      <c r="U191" s="42" t="str">
        <f>+IF($U$5=0,"",'4. '!T57)</f>
        <v/>
      </c>
      <c r="V191" s="42" t="str">
        <f>+IF($V$5=0,"",'4. '!U57)</f>
        <v/>
      </c>
      <c r="W191" s="42" t="str">
        <f>+IF($W$5=0,"",'4. '!V57)</f>
        <v/>
      </c>
      <c r="X191" s="42" t="str">
        <f>+IF($X$5=0,"",'4. '!W57)</f>
        <v/>
      </c>
      <c r="Y191" s="42" t="str">
        <f>+IF($Y$5=0,"",'4. '!X57)</f>
        <v/>
      </c>
      <c r="Z191" s="42" t="str">
        <f>+IF($Z$5=0,"",'4. '!Y57)</f>
        <v/>
      </c>
      <c r="AA191" s="42" t="str">
        <f>+IF($AA$5=0,"",'4. '!Z57)</f>
        <v/>
      </c>
      <c r="AB191" s="42" t="str">
        <f>+IF($AB$5=0,"",'4. '!AA57)</f>
        <v/>
      </c>
      <c r="AC191" s="42" t="str">
        <f>+IF($AC$5=0,"",'4. '!AB57)</f>
        <v/>
      </c>
      <c r="AD191" s="42" t="str">
        <f>+IF($AD$5=0,"",'4. '!AC57)</f>
        <v/>
      </c>
      <c r="AE191" s="42" t="str">
        <f>+IF($AE$5=0,"",'4. '!AD57)</f>
        <v/>
      </c>
      <c r="AF191" s="42" t="str">
        <f>+IF($AF$5=0,"",'4. '!AE57)</f>
        <v/>
      </c>
      <c r="AG191" s="50" t="e">
        <f t="shared" si="3"/>
        <v>#DIV/0!</v>
      </c>
      <c r="AH191" s="6"/>
      <c r="AI191"/>
      <c r="AJ191"/>
    </row>
    <row r="192" spans="1:36" s="1" customFormat="1" ht="15.75" thickBot="1" x14ac:dyDescent="0.3">
      <c r="A192"/>
      <c r="B192" s="11" t="s">
        <v>100</v>
      </c>
      <c r="C192" s="42" t="str">
        <f>+IF($C$5=0,"",'4. '!B54)</f>
        <v/>
      </c>
      <c r="D192" s="42" t="str">
        <f>+IF($D$5=0,"",'4. '!C54)</f>
        <v/>
      </c>
      <c r="E192" s="42" t="str">
        <f>+IF($E$5=0,"",'4. '!D54)</f>
        <v/>
      </c>
      <c r="F192" s="42" t="str">
        <f>+IF($F$5=0,"",'4. '!E54)</f>
        <v/>
      </c>
      <c r="G192" s="42" t="str">
        <f>+IF($G$5=0,"",'4. '!F54)</f>
        <v/>
      </c>
      <c r="H192" s="42" t="str">
        <f>+IF($H$5=0,"",'4. '!G54)</f>
        <v/>
      </c>
      <c r="I192" s="42" t="str">
        <f>+IF($I$5=0,"",'4. '!H54)</f>
        <v/>
      </c>
      <c r="J192" s="42" t="str">
        <f>+IF($J$5=0,"",'4. '!I54)</f>
        <v/>
      </c>
      <c r="K192" s="42" t="str">
        <f>+IF($K$5=0,"",'4. '!J54)</f>
        <v/>
      </c>
      <c r="L192" s="42" t="str">
        <f>+IF($L$5=0,"",'4. '!K54)</f>
        <v/>
      </c>
      <c r="M192" s="42" t="str">
        <f>+IF($M$5=0,"",'4. '!L54)</f>
        <v/>
      </c>
      <c r="N192" s="42" t="str">
        <f>+IF($N$5=0,"",'4. '!M54)</f>
        <v/>
      </c>
      <c r="O192" s="42" t="str">
        <f>+IF($O$5=0,"",'4. '!N54)</f>
        <v/>
      </c>
      <c r="P192" s="42" t="str">
        <f>+IF($P$5=0,"",'4. '!O54)</f>
        <v/>
      </c>
      <c r="Q192" s="42" t="str">
        <f>+IF($Q$5=0,"",'4. '!P54)</f>
        <v/>
      </c>
      <c r="R192" s="42" t="str">
        <f>+IF($R$5=0,"",'4. '!Q54)</f>
        <v/>
      </c>
      <c r="S192" s="42" t="str">
        <f>+IF($S$5=0,"",'4. '!R54)</f>
        <v/>
      </c>
      <c r="T192" s="42" t="str">
        <f>+IF($T$5=0,"",'4. '!S54)</f>
        <v/>
      </c>
      <c r="U192" s="42" t="str">
        <f>+IF($U$5=0,"",'4. '!T54)</f>
        <v/>
      </c>
      <c r="V192" s="42" t="str">
        <f>+IF($V$5=0,"",'4. '!U54)</f>
        <v/>
      </c>
      <c r="W192" s="42" t="str">
        <f>+IF($W$5=0,"",'4. '!V54)</f>
        <v/>
      </c>
      <c r="X192" s="42" t="str">
        <f>+IF($X$5=0,"",'4. '!W54)</f>
        <v/>
      </c>
      <c r="Y192" s="42" t="str">
        <f>+IF($Y$5=0,"",'4. '!X54)</f>
        <v/>
      </c>
      <c r="Z192" s="42" t="str">
        <f>+IF($Z$5=0,"",'4. '!Y54)</f>
        <v/>
      </c>
      <c r="AA192" s="42" t="str">
        <f>+IF($AA$5=0,"",'4. '!Z54)</f>
        <v/>
      </c>
      <c r="AB192" s="42" t="str">
        <f>+IF($AB$5=0,"",'4. '!AA54)</f>
        <v/>
      </c>
      <c r="AC192" s="42" t="str">
        <f>+IF($AC$5=0,"",'4. '!AB54)</f>
        <v/>
      </c>
      <c r="AD192" s="42" t="str">
        <f>+IF($AD$5=0,"",'4. '!AC54)</f>
        <v/>
      </c>
      <c r="AE192" s="42" t="str">
        <f>+IF($AE$5=0,"",'4. '!AD54)</f>
        <v/>
      </c>
      <c r="AF192" s="42" t="str">
        <f>+IF($AF$5=0,"",'4. '!AE54)</f>
        <v/>
      </c>
      <c r="AG192" s="50" t="e">
        <f t="shared" si="3"/>
        <v>#DIV/0!</v>
      </c>
      <c r="AH192" s="6"/>
      <c r="AI192"/>
      <c r="AJ192"/>
    </row>
    <row r="193" spans="1:36" s="1" customFormat="1" ht="15.75" thickBot="1" x14ac:dyDescent="0.3">
      <c r="A193"/>
      <c r="B193" s="10" t="s">
        <v>186</v>
      </c>
      <c r="C193" s="42" t="str">
        <f>+IF($C$5=0,"",'4. '!B128)</f>
        <v/>
      </c>
      <c r="D193" s="42" t="str">
        <f>+IF($D$5=0,"",'4. '!C128)</f>
        <v/>
      </c>
      <c r="E193" s="42" t="str">
        <f>+IF($E$5=0,"",'4. '!D128)</f>
        <v/>
      </c>
      <c r="F193" s="42" t="str">
        <f>+IF($F$5=0,"",'4. '!E128)</f>
        <v/>
      </c>
      <c r="G193" s="42" t="str">
        <f>+IF($G$5=0,"",'4. '!F128)</f>
        <v/>
      </c>
      <c r="H193" s="42" t="str">
        <f>+IF($H$5=0,"",'4. '!G128)</f>
        <v/>
      </c>
      <c r="I193" s="42" t="str">
        <f>+IF($I$5=0,"",'4. '!H128)</f>
        <v/>
      </c>
      <c r="J193" s="42" t="str">
        <f>+IF($J$5=0,"",'4. '!I128)</f>
        <v/>
      </c>
      <c r="K193" s="42" t="str">
        <f>+IF($K$5=0,"",'4. '!J128)</f>
        <v/>
      </c>
      <c r="L193" s="42" t="str">
        <f>+IF($L$5=0,"",'4. '!K128)</f>
        <v/>
      </c>
      <c r="M193" s="42" t="str">
        <f>+IF($M$5=0,"",'4. '!L128)</f>
        <v/>
      </c>
      <c r="N193" s="42" t="str">
        <f>+IF($N$5=0,"",'4. '!M128)</f>
        <v/>
      </c>
      <c r="O193" s="42" t="str">
        <f>+IF($O$5=0,"",'4. '!N128)</f>
        <v/>
      </c>
      <c r="P193" s="42" t="str">
        <f>+IF($P$5=0,"",'4. '!O128)</f>
        <v/>
      </c>
      <c r="Q193" s="42" t="str">
        <f>+IF($Q$5=0,"",'4. '!P128)</f>
        <v/>
      </c>
      <c r="R193" s="42" t="str">
        <f>+IF($R$5=0,"",'4. '!Q128)</f>
        <v/>
      </c>
      <c r="S193" s="42" t="str">
        <f>+IF($S$5=0,"",'4. '!R128)</f>
        <v/>
      </c>
      <c r="T193" s="42" t="str">
        <f>+IF($T$5=0,"",'4. '!S128)</f>
        <v/>
      </c>
      <c r="U193" s="42" t="str">
        <f>+IF($U$5=0,"",'4. '!T128)</f>
        <v/>
      </c>
      <c r="V193" s="42" t="str">
        <f>+IF($V$5=0,"",'4. '!U128)</f>
        <v/>
      </c>
      <c r="W193" s="42" t="str">
        <f>+IF($W$5=0,"",'4. '!V128)</f>
        <v/>
      </c>
      <c r="X193" s="42" t="str">
        <f>+IF($X$5=0,"",'4. '!W128)</f>
        <v/>
      </c>
      <c r="Y193" s="42" t="str">
        <f>+IF($Y$5=0,"",'4. '!X128)</f>
        <v/>
      </c>
      <c r="Z193" s="42" t="str">
        <f>+IF($Z$5=0,"",'4. '!Y128)</f>
        <v/>
      </c>
      <c r="AA193" s="42" t="str">
        <f>+IF($AA$5=0,"",'4. '!Z128)</f>
        <v/>
      </c>
      <c r="AB193" s="42" t="str">
        <f>+IF($AB$5=0,"",'4. '!AA128)</f>
        <v/>
      </c>
      <c r="AC193" s="42" t="str">
        <f>+IF($AC$5=0,"",'4. '!AB128)</f>
        <v/>
      </c>
      <c r="AD193" s="42" t="str">
        <f>+IF($AD$5=0,"",'4. '!AC128)</f>
        <v/>
      </c>
      <c r="AE193" s="42" t="str">
        <f>+IF($AE$5=0,"",'4. '!AD128)</f>
        <v/>
      </c>
      <c r="AF193" s="42" t="str">
        <f>+IF($AF$5=0,"",'4. '!AE128)</f>
        <v/>
      </c>
      <c r="AG193" s="50" t="e">
        <f t="shared" si="3"/>
        <v>#DIV/0!</v>
      </c>
      <c r="AH193" s="6"/>
      <c r="AI193"/>
      <c r="AJ193"/>
    </row>
    <row r="194" spans="1:36" s="1" customFormat="1" ht="15.75" thickBot="1" x14ac:dyDescent="0.3">
      <c r="A194"/>
      <c r="B194" s="11" t="s">
        <v>183</v>
      </c>
      <c r="C194" s="42" t="str">
        <f>+IF($C$5=0,"",'4. '!B125)</f>
        <v/>
      </c>
      <c r="D194" s="42" t="str">
        <f>+IF($D$5=0,"",'4. '!C125)</f>
        <v/>
      </c>
      <c r="E194" s="42" t="str">
        <f>+IF($E$5=0,"",'4. '!D125)</f>
        <v/>
      </c>
      <c r="F194" s="42" t="str">
        <f>+IF($F$5=0,"",'4. '!E125)</f>
        <v/>
      </c>
      <c r="G194" s="42" t="str">
        <f>+IF($G$5=0,"",'4. '!F125)</f>
        <v/>
      </c>
      <c r="H194" s="42" t="str">
        <f>+IF($H$5=0,"",'4. '!G125)</f>
        <v/>
      </c>
      <c r="I194" s="42" t="str">
        <f>+IF($I$5=0,"",'4. '!H125)</f>
        <v/>
      </c>
      <c r="J194" s="42" t="str">
        <f>+IF($J$5=0,"",'4. '!I125)</f>
        <v/>
      </c>
      <c r="K194" s="42" t="str">
        <f>+IF($K$5=0,"",'4. '!J125)</f>
        <v/>
      </c>
      <c r="L194" s="42" t="str">
        <f>+IF($L$5=0,"",'4. '!K125)</f>
        <v/>
      </c>
      <c r="M194" s="42" t="str">
        <f>+IF($M$5=0,"",'4. '!L125)</f>
        <v/>
      </c>
      <c r="N194" s="42" t="str">
        <f>+IF($N$5=0,"",'4. '!M125)</f>
        <v/>
      </c>
      <c r="O194" s="42" t="str">
        <f>+IF($O$5=0,"",'4. '!N125)</f>
        <v/>
      </c>
      <c r="P194" s="42" t="str">
        <f>+IF($P$5=0,"",'4. '!O125)</f>
        <v/>
      </c>
      <c r="Q194" s="42" t="str">
        <f>+IF($Q$5=0,"",'4. '!P125)</f>
        <v/>
      </c>
      <c r="R194" s="42" t="str">
        <f>+IF($R$5=0,"",'4. '!Q125)</f>
        <v/>
      </c>
      <c r="S194" s="42" t="str">
        <f>+IF($S$5=0,"",'4. '!R125)</f>
        <v/>
      </c>
      <c r="T194" s="42" t="str">
        <f>+IF($T$5=0,"",'4. '!S125)</f>
        <v/>
      </c>
      <c r="U194" s="42" t="str">
        <f>+IF($U$5=0,"",'4. '!T125)</f>
        <v/>
      </c>
      <c r="V194" s="42" t="str">
        <f>+IF($V$5=0,"",'4. '!U125)</f>
        <v/>
      </c>
      <c r="W194" s="42" t="str">
        <f>+IF($W$5=0,"",'4. '!V125)</f>
        <v/>
      </c>
      <c r="X194" s="42" t="str">
        <f>+IF($X$5=0,"",'4. '!W125)</f>
        <v/>
      </c>
      <c r="Y194" s="42" t="str">
        <f>+IF($Y$5=0,"",'4. '!X125)</f>
        <v/>
      </c>
      <c r="Z194" s="42" t="str">
        <f>+IF($Z$5=0,"",'4. '!Y125)</f>
        <v/>
      </c>
      <c r="AA194" s="42" t="str">
        <f>+IF($AA$5=0,"",'4. '!Z125)</f>
        <v/>
      </c>
      <c r="AB194" s="42" t="str">
        <f>+IF($AB$5=0,"",'4. '!AA125)</f>
        <v/>
      </c>
      <c r="AC194" s="42" t="str">
        <f>+IF($AC$5=0,"",'4. '!AB125)</f>
        <v/>
      </c>
      <c r="AD194" s="42" t="str">
        <f>+IF($AD$5=0,"",'4. '!AC125)</f>
        <v/>
      </c>
      <c r="AE194" s="42" t="str">
        <f>+IF($AE$5=0,"",'4. '!AD125)</f>
        <v/>
      </c>
      <c r="AF194" s="42" t="str">
        <f>+IF($AF$5=0,"",'4. '!AE125)</f>
        <v/>
      </c>
      <c r="AG194" s="50" t="e">
        <f t="shared" si="3"/>
        <v>#DIV/0!</v>
      </c>
      <c r="AH194" s="6"/>
      <c r="AI194"/>
      <c r="AJ194"/>
    </row>
    <row r="195" spans="1:36" s="1" customFormat="1" ht="15.75" thickBot="1" x14ac:dyDescent="0.3">
      <c r="A195"/>
      <c r="B195" s="10" t="s">
        <v>188</v>
      </c>
      <c r="C195" s="42" t="str">
        <f>+IF($C$5=0,"",'4. '!B130)</f>
        <v/>
      </c>
      <c r="D195" s="42" t="str">
        <f>+IF($D$5=0,"",'4. '!C130)</f>
        <v/>
      </c>
      <c r="E195" s="42" t="str">
        <f>+IF($E$5=0,"",'4. '!D130)</f>
        <v/>
      </c>
      <c r="F195" s="42" t="str">
        <f>+IF($F$5=0,"",'4. '!E130)</f>
        <v/>
      </c>
      <c r="G195" s="42" t="str">
        <f>+IF($G$5=0,"",'4. '!F130)</f>
        <v/>
      </c>
      <c r="H195" s="42" t="str">
        <f>+IF($H$5=0,"",'4. '!G130)</f>
        <v/>
      </c>
      <c r="I195" s="42" t="str">
        <f>+IF($I$5=0,"",'4. '!H130)</f>
        <v/>
      </c>
      <c r="J195" s="42" t="str">
        <f>+IF($J$5=0,"",'4. '!I130)</f>
        <v/>
      </c>
      <c r="K195" s="42" t="str">
        <f>+IF($K$5=0,"",'4. '!J130)</f>
        <v/>
      </c>
      <c r="L195" s="42" t="str">
        <f>+IF($L$5=0,"",'4. '!K130)</f>
        <v/>
      </c>
      <c r="M195" s="42" t="str">
        <f>+IF($M$5=0,"",'4. '!L130)</f>
        <v/>
      </c>
      <c r="N195" s="42" t="str">
        <f>+IF($N$5=0,"",'4. '!M130)</f>
        <v/>
      </c>
      <c r="O195" s="42" t="str">
        <f>+IF($O$5=0,"",'4. '!N130)</f>
        <v/>
      </c>
      <c r="P195" s="42" t="str">
        <f>+IF($P$5=0,"",'4. '!O130)</f>
        <v/>
      </c>
      <c r="Q195" s="42" t="str">
        <f>+IF($Q$5=0,"",'4. '!P130)</f>
        <v/>
      </c>
      <c r="R195" s="42" t="str">
        <f>+IF($R$5=0,"",'4. '!Q130)</f>
        <v/>
      </c>
      <c r="S195" s="42" t="str">
        <f>+IF($S$5=0,"",'4. '!R130)</f>
        <v/>
      </c>
      <c r="T195" s="42" t="str">
        <f>+IF($T$5=0,"",'4. '!S130)</f>
        <v/>
      </c>
      <c r="U195" s="42" t="str">
        <f>+IF($U$5=0,"",'4. '!T130)</f>
        <v/>
      </c>
      <c r="V195" s="42" t="str">
        <f>+IF($V$5=0,"",'4. '!U130)</f>
        <v/>
      </c>
      <c r="W195" s="42" t="str">
        <f>+IF($W$5=0,"",'4. '!V130)</f>
        <v/>
      </c>
      <c r="X195" s="42" t="str">
        <f>+IF($X$5=0,"",'4. '!W130)</f>
        <v/>
      </c>
      <c r="Y195" s="42" t="str">
        <f>+IF($Y$5=0,"",'4. '!X130)</f>
        <v/>
      </c>
      <c r="Z195" s="42" t="str">
        <f>+IF($Z$5=0,"",'4. '!Y130)</f>
        <v/>
      </c>
      <c r="AA195" s="42" t="str">
        <f>+IF($AA$5=0,"",'4. '!Z130)</f>
        <v/>
      </c>
      <c r="AB195" s="42" t="str">
        <f>+IF($AB$5=0,"",'4. '!AA130)</f>
        <v/>
      </c>
      <c r="AC195" s="42" t="str">
        <f>+IF($AC$5=0,"",'4. '!AB130)</f>
        <v/>
      </c>
      <c r="AD195" s="42" t="str">
        <f>+IF($AD$5=0,"",'4. '!AC130)</f>
        <v/>
      </c>
      <c r="AE195" s="42" t="str">
        <f>+IF($AE$5=0,"",'4. '!AD130)</f>
        <v/>
      </c>
      <c r="AF195" s="42" t="str">
        <f>+IF($AF$5=0,"",'4. '!AE130)</f>
        <v/>
      </c>
      <c r="AG195" s="50" t="e">
        <f t="shared" si="3"/>
        <v>#DIV/0!</v>
      </c>
      <c r="AH195" s="6"/>
      <c r="AI195"/>
      <c r="AJ195"/>
    </row>
    <row r="196" spans="1:36" s="1" customFormat="1" ht="15.75" thickBot="1" x14ac:dyDescent="0.3">
      <c r="A196"/>
      <c r="B196" s="11" t="s">
        <v>185</v>
      </c>
      <c r="C196" s="42" t="str">
        <f>+IF($C$5=0,"",'4. '!B127)</f>
        <v/>
      </c>
      <c r="D196" s="42" t="str">
        <f>+IF($D$5=0,"",'4. '!C127)</f>
        <v/>
      </c>
      <c r="E196" s="42" t="str">
        <f>+IF($E$5=0,"",'4. '!D127)</f>
        <v/>
      </c>
      <c r="F196" s="42" t="str">
        <f>+IF($F$5=0,"",'4. '!E127)</f>
        <v/>
      </c>
      <c r="G196" s="42" t="str">
        <f>+IF($G$5=0,"",'4. '!F127)</f>
        <v/>
      </c>
      <c r="H196" s="42" t="str">
        <f>+IF($H$5=0,"",'4. '!G127)</f>
        <v/>
      </c>
      <c r="I196" s="42" t="str">
        <f>+IF($I$5=0,"",'4. '!H127)</f>
        <v/>
      </c>
      <c r="J196" s="42" t="str">
        <f>+IF($J$5=0,"",'4. '!I127)</f>
        <v/>
      </c>
      <c r="K196" s="42" t="str">
        <f>+IF($K$5=0,"",'4. '!J127)</f>
        <v/>
      </c>
      <c r="L196" s="42" t="str">
        <f>+IF($L$5=0,"",'4. '!K127)</f>
        <v/>
      </c>
      <c r="M196" s="42" t="str">
        <f>+IF($M$5=0,"",'4. '!L127)</f>
        <v/>
      </c>
      <c r="N196" s="42" t="str">
        <f>+IF($N$5=0,"",'4. '!M127)</f>
        <v/>
      </c>
      <c r="O196" s="42" t="str">
        <f>+IF($O$5=0,"",'4. '!N127)</f>
        <v/>
      </c>
      <c r="P196" s="42" t="str">
        <f>+IF($P$5=0,"",'4. '!O127)</f>
        <v/>
      </c>
      <c r="Q196" s="42" t="str">
        <f>+IF($Q$5=0,"",'4. '!P127)</f>
        <v/>
      </c>
      <c r="R196" s="42" t="str">
        <f>+IF($R$5=0,"",'4. '!Q127)</f>
        <v/>
      </c>
      <c r="S196" s="42" t="str">
        <f>+IF($S$5=0,"",'4. '!R127)</f>
        <v/>
      </c>
      <c r="T196" s="42" t="str">
        <f>+IF($T$5=0,"",'4. '!S127)</f>
        <v/>
      </c>
      <c r="U196" s="42" t="str">
        <f>+IF($U$5=0,"",'4. '!T127)</f>
        <v/>
      </c>
      <c r="V196" s="42" t="str">
        <f>+IF($V$5=0,"",'4. '!U127)</f>
        <v/>
      </c>
      <c r="W196" s="42" t="str">
        <f>+IF($W$5=0,"",'4. '!V127)</f>
        <v/>
      </c>
      <c r="X196" s="42" t="str">
        <f>+IF($X$5=0,"",'4. '!W127)</f>
        <v/>
      </c>
      <c r="Y196" s="42" t="str">
        <f>+IF($Y$5=0,"",'4. '!X127)</f>
        <v/>
      </c>
      <c r="Z196" s="42" t="str">
        <f>+IF($Z$5=0,"",'4. '!Y127)</f>
        <v/>
      </c>
      <c r="AA196" s="42" t="str">
        <f>+IF($AA$5=0,"",'4. '!Z127)</f>
        <v/>
      </c>
      <c r="AB196" s="42" t="str">
        <f>+IF($AB$5=0,"",'4. '!AA127)</f>
        <v/>
      </c>
      <c r="AC196" s="42" t="str">
        <f>+IF($AC$5=0,"",'4. '!AB127)</f>
        <v/>
      </c>
      <c r="AD196" s="42" t="str">
        <f>+IF($AD$5=0,"",'4. '!AC127)</f>
        <v/>
      </c>
      <c r="AE196" s="42" t="str">
        <f>+IF($AE$5=0,"",'4. '!AD127)</f>
        <v/>
      </c>
      <c r="AF196" s="42" t="str">
        <f>+IF($AF$5=0,"",'4. '!AE127)</f>
        <v/>
      </c>
      <c r="AG196" s="50" t="e">
        <f t="shared" si="3"/>
        <v>#DIV/0!</v>
      </c>
      <c r="AH196" s="6"/>
      <c r="AI196"/>
      <c r="AJ196"/>
    </row>
    <row r="197" spans="1:36" s="1" customFormat="1" ht="15.75" thickBot="1" x14ac:dyDescent="0.3">
      <c r="A197"/>
      <c r="B197" s="10" t="s">
        <v>93</v>
      </c>
      <c r="C197" s="42" t="str">
        <f>+IF($C$5=0,"",'4. '!B47)</f>
        <v/>
      </c>
      <c r="D197" s="42" t="str">
        <f>+IF($D$5=0,"",'4. '!C47)</f>
        <v/>
      </c>
      <c r="E197" s="42" t="str">
        <f>+IF($E$5=0,"",'4. '!D47)</f>
        <v/>
      </c>
      <c r="F197" s="42" t="str">
        <f>+IF($F$5=0,"",'4. '!E47)</f>
        <v/>
      </c>
      <c r="G197" s="42" t="str">
        <f>+IF($G$5=0,"",'4. '!F47)</f>
        <v/>
      </c>
      <c r="H197" s="42" t="str">
        <f>+IF($H$5=0,"",'4. '!G47)</f>
        <v/>
      </c>
      <c r="I197" s="42" t="str">
        <f>+IF($I$5=0,"",'4. '!H47)</f>
        <v/>
      </c>
      <c r="J197" s="42" t="str">
        <f>+IF($J$5=0,"",'4. '!I47)</f>
        <v/>
      </c>
      <c r="K197" s="42" t="str">
        <f>+IF($K$5=0,"",'4. '!J47)</f>
        <v/>
      </c>
      <c r="L197" s="42" t="str">
        <f>+IF($L$5=0,"",'4. '!K47)</f>
        <v/>
      </c>
      <c r="M197" s="42" t="str">
        <f>+IF($M$5=0,"",'4. '!L47)</f>
        <v/>
      </c>
      <c r="N197" s="42" t="str">
        <f>+IF($N$5=0,"",'4. '!M47)</f>
        <v/>
      </c>
      <c r="O197" s="42" t="str">
        <f>+IF($O$5=0,"",'4. '!N47)</f>
        <v/>
      </c>
      <c r="P197" s="42" t="str">
        <f>+IF($P$5=0,"",'4. '!O47)</f>
        <v/>
      </c>
      <c r="Q197" s="42" t="str">
        <f>+IF($Q$5=0,"",'4. '!P47)</f>
        <v/>
      </c>
      <c r="R197" s="42" t="str">
        <f>+IF($R$5=0,"",'4. '!Q47)</f>
        <v/>
      </c>
      <c r="S197" s="42" t="str">
        <f>+IF($S$5=0,"",'4. '!R47)</f>
        <v/>
      </c>
      <c r="T197" s="42" t="str">
        <f>+IF($T$5=0,"",'4. '!S47)</f>
        <v/>
      </c>
      <c r="U197" s="42" t="str">
        <f>+IF($U$5=0,"",'4. '!T47)</f>
        <v/>
      </c>
      <c r="V197" s="42" t="str">
        <f>+IF($V$5=0,"",'4. '!U47)</f>
        <v/>
      </c>
      <c r="W197" s="42" t="str">
        <f>+IF($W$5=0,"",'4. '!V47)</f>
        <v/>
      </c>
      <c r="X197" s="42" t="str">
        <f>+IF($X$5=0,"",'4. '!W47)</f>
        <v/>
      </c>
      <c r="Y197" s="42" t="str">
        <f>+IF($Y$5=0,"",'4. '!X47)</f>
        <v/>
      </c>
      <c r="Z197" s="42" t="str">
        <f>+IF($Z$5=0,"",'4. '!Y47)</f>
        <v/>
      </c>
      <c r="AA197" s="42" t="str">
        <f>+IF($AA$5=0,"",'4. '!Z47)</f>
        <v/>
      </c>
      <c r="AB197" s="42" t="str">
        <f>+IF($AB$5=0,"",'4. '!AA47)</f>
        <v/>
      </c>
      <c r="AC197" s="42" t="str">
        <f>+IF($AC$5=0,"",'4. '!AB47)</f>
        <v/>
      </c>
      <c r="AD197" s="42" t="str">
        <f>+IF($AD$5=0,"",'4. '!AC47)</f>
        <v/>
      </c>
      <c r="AE197" s="42" t="str">
        <f>+IF($AE$5=0,"",'4. '!AD47)</f>
        <v/>
      </c>
      <c r="AF197" s="42" t="str">
        <f>+IF($AF$5=0,"",'4. '!AE47)</f>
        <v/>
      </c>
      <c r="AG197" s="50" t="e">
        <f t="shared" si="3"/>
        <v>#DIV/0!</v>
      </c>
      <c r="AH197" s="6"/>
      <c r="AI197"/>
      <c r="AJ197"/>
    </row>
    <row r="198" spans="1:36" s="1" customFormat="1" ht="15.75" thickBot="1" x14ac:dyDescent="0.3">
      <c r="A198"/>
      <c r="B198" s="11" t="s">
        <v>90</v>
      </c>
      <c r="C198" s="42" t="str">
        <f>+IF($C$5=0,"",'4. '!B44)</f>
        <v/>
      </c>
      <c r="D198" s="42" t="str">
        <f>+IF($D$5=0,"",'4. '!C44)</f>
        <v/>
      </c>
      <c r="E198" s="42" t="str">
        <f>+IF($E$5=0,"",'4. '!D44)</f>
        <v/>
      </c>
      <c r="F198" s="42" t="str">
        <f>+IF($F$5=0,"",'4. '!E44)</f>
        <v/>
      </c>
      <c r="G198" s="42" t="str">
        <f>+IF($G$5=0,"",'4. '!F44)</f>
        <v/>
      </c>
      <c r="H198" s="42" t="str">
        <f>+IF($H$5=0,"",'4. '!G44)</f>
        <v/>
      </c>
      <c r="I198" s="42" t="str">
        <f>+IF($I$5=0,"",'4. '!H44)</f>
        <v/>
      </c>
      <c r="J198" s="42" t="str">
        <f>+IF($J$5=0,"",'4. '!I44)</f>
        <v/>
      </c>
      <c r="K198" s="42" t="str">
        <f>+IF($K$5=0,"",'4. '!J44)</f>
        <v/>
      </c>
      <c r="L198" s="42" t="str">
        <f>+IF($L$5=0,"",'4. '!K44)</f>
        <v/>
      </c>
      <c r="M198" s="42" t="str">
        <f>+IF($M$5=0,"",'4. '!L44)</f>
        <v/>
      </c>
      <c r="N198" s="42" t="str">
        <f>+IF($N$5=0,"",'4. '!M44)</f>
        <v/>
      </c>
      <c r="O198" s="42" t="str">
        <f>+IF($O$5=0,"",'4. '!N44)</f>
        <v/>
      </c>
      <c r="P198" s="42" t="str">
        <f>+IF($P$5=0,"",'4. '!O44)</f>
        <v/>
      </c>
      <c r="Q198" s="42" t="str">
        <f>+IF($Q$5=0,"",'4. '!P44)</f>
        <v/>
      </c>
      <c r="R198" s="42" t="str">
        <f>+IF($R$5=0,"",'4. '!Q44)</f>
        <v/>
      </c>
      <c r="S198" s="42" t="str">
        <f>+IF($S$5=0,"",'4. '!R44)</f>
        <v/>
      </c>
      <c r="T198" s="42" t="str">
        <f>+IF($T$5=0,"",'4. '!S44)</f>
        <v/>
      </c>
      <c r="U198" s="42" t="str">
        <f>+IF($U$5=0,"",'4. '!T44)</f>
        <v/>
      </c>
      <c r="V198" s="42" t="str">
        <f>+IF($V$5=0,"",'4. '!U44)</f>
        <v/>
      </c>
      <c r="W198" s="42" t="str">
        <f>+IF($W$5=0,"",'4. '!V44)</f>
        <v/>
      </c>
      <c r="X198" s="42" t="str">
        <f>+IF($X$5=0,"",'4. '!W44)</f>
        <v/>
      </c>
      <c r="Y198" s="42" t="str">
        <f>+IF($Y$5=0,"",'4. '!X44)</f>
        <v/>
      </c>
      <c r="Z198" s="42" t="str">
        <f>+IF($Z$5=0,"",'4. '!Y44)</f>
        <v/>
      </c>
      <c r="AA198" s="42" t="str">
        <f>+IF($AA$5=0,"",'4. '!Z44)</f>
        <v/>
      </c>
      <c r="AB198" s="42" t="str">
        <f>+IF($AB$5=0,"",'4. '!AA44)</f>
        <v/>
      </c>
      <c r="AC198" s="42" t="str">
        <f>+IF($AC$5=0,"",'4. '!AB44)</f>
        <v/>
      </c>
      <c r="AD198" s="42" t="str">
        <f>+IF($AD$5=0,"",'4. '!AC44)</f>
        <v/>
      </c>
      <c r="AE198" s="42" t="str">
        <f>+IF($AE$5=0,"",'4. '!AD44)</f>
        <v/>
      </c>
      <c r="AF198" s="42" t="str">
        <f>+IF($AF$5=0,"",'4. '!AE44)</f>
        <v/>
      </c>
      <c r="AG198" s="50" t="e">
        <f t="shared" ref="AG198:AG248" si="4">+AVERAGEIF(C198:AF198,"=X",$C$5:$AF$5)</f>
        <v>#DIV/0!</v>
      </c>
      <c r="AH198" s="6"/>
      <c r="AI198"/>
      <c r="AJ198"/>
    </row>
    <row r="199" spans="1:36" s="1" customFormat="1" ht="15.75" thickBot="1" x14ac:dyDescent="0.3">
      <c r="A199"/>
      <c r="B199" s="10" t="s">
        <v>95</v>
      </c>
      <c r="C199" s="42" t="str">
        <f>+IF($C$5=0,"",'4. '!B49)</f>
        <v/>
      </c>
      <c r="D199" s="42" t="str">
        <f>+IF($D$5=0,"",'4. '!C49)</f>
        <v/>
      </c>
      <c r="E199" s="42" t="str">
        <f>+IF($E$5=0,"",'4. '!D49)</f>
        <v/>
      </c>
      <c r="F199" s="42" t="str">
        <f>+IF($F$5=0,"",'4. '!E49)</f>
        <v/>
      </c>
      <c r="G199" s="42" t="str">
        <f>+IF($G$5=0,"",'4. '!F49)</f>
        <v/>
      </c>
      <c r="H199" s="42" t="str">
        <f>+IF($H$5=0,"",'4. '!G49)</f>
        <v/>
      </c>
      <c r="I199" s="42" t="str">
        <f>+IF($I$5=0,"",'4. '!H49)</f>
        <v/>
      </c>
      <c r="J199" s="42" t="str">
        <f>+IF($J$5=0,"",'4. '!I49)</f>
        <v/>
      </c>
      <c r="K199" s="42" t="str">
        <f>+IF($K$5=0,"",'4. '!J49)</f>
        <v/>
      </c>
      <c r="L199" s="42" t="str">
        <f>+IF($L$5=0,"",'4. '!K49)</f>
        <v/>
      </c>
      <c r="M199" s="42" t="str">
        <f>+IF($M$5=0,"",'4. '!L49)</f>
        <v/>
      </c>
      <c r="N199" s="42" t="str">
        <f>+IF($N$5=0,"",'4. '!M49)</f>
        <v/>
      </c>
      <c r="O199" s="42" t="str">
        <f>+IF($O$5=0,"",'4. '!N49)</f>
        <v/>
      </c>
      <c r="P199" s="42" t="str">
        <f>+IF($P$5=0,"",'4. '!O49)</f>
        <v/>
      </c>
      <c r="Q199" s="42" t="str">
        <f>+IF($Q$5=0,"",'4. '!P49)</f>
        <v/>
      </c>
      <c r="R199" s="42" t="str">
        <f>+IF($R$5=0,"",'4. '!Q49)</f>
        <v/>
      </c>
      <c r="S199" s="42" t="str">
        <f>+IF($S$5=0,"",'4. '!R49)</f>
        <v/>
      </c>
      <c r="T199" s="42" t="str">
        <f>+IF($T$5=0,"",'4. '!S49)</f>
        <v/>
      </c>
      <c r="U199" s="42" t="str">
        <f>+IF($U$5=0,"",'4. '!T49)</f>
        <v/>
      </c>
      <c r="V199" s="42" t="str">
        <f>+IF($V$5=0,"",'4. '!U49)</f>
        <v/>
      </c>
      <c r="W199" s="42" t="str">
        <f>+IF($W$5=0,"",'4. '!V49)</f>
        <v/>
      </c>
      <c r="X199" s="42" t="str">
        <f>+IF($X$5=0,"",'4. '!W49)</f>
        <v/>
      </c>
      <c r="Y199" s="42" t="str">
        <f>+IF($Y$5=0,"",'4. '!X49)</f>
        <v/>
      </c>
      <c r="Z199" s="42" t="str">
        <f>+IF($Z$5=0,"",'4. '!Y49)</f>
        <v/>
      </c>
      <c r="AA199" s="42" t="str">
        <f>+IF($AA$5=0,"",'4. '!Z49)</f>
        <v/>
      </c>
      <c r="AB199" s="42" t="str">
        <f>+IF($AB$5=0,"",'4. '!AA49)</f>
        <v/>
      </c>
      <c r="AC199" s="42" t="str">
        <f>+IF($AC$5=0,"",'4. '!AB49)</f>
        <v/>
      </c>
      <c r="AD199" s="42" t="str">
        <f>+IF($AD$5=0,"",'4. '!AC49)</f>
        <v/>
      </c>
      <c r="AE199" s="42" t="str">
        <f>+IF($AE$5=0,"",'4. '!AD49)</f>
        <v/>
      </c>
      <c r="AF199" s="42" t="str">
        <f>+IF($AF$5=0,"",'4. '!AE49)</f>
        <v/>
      </c>
      <c r="AG199" s="50" t="e">
        <f t="shared" si="4"/>
        <v>#DIV/0!</v>
      </c>
      <c r="AH199" s="6"/>
      <c r="AI199"/>
      <c r="AJ199"/>
    </row>
    <row r="200" spans="1:36" s="1" customFormat="1" ht="15.75" thickBot="1" x14ac:dyDescent="0.3">
      <c r="A200"/>
      <c r="B200" s="11" t="s">
        <v>92</v>
      </c>
      <c r="C200" s="42" t="str">
        <f>+IF($C$5=0,"",'4. '!B46)</f>
        <v/>
      </c>
      <c r="D200" s="42" t="str">
        <f>+IF($D$5=0,"",'4. '!C46)</f>
        <v/>
      </c>
      <c r="E200" s="42" t="str">
        <f>+IF($E$5=0,"",'4. '!D46)</f>
        <v/>
      </c>
      <c r="F200" s="42" t="str">
        <f>+IF($F$5=0,"",'4. '!E46)</f>
        <v/>
      </c>
      <c r="G200" s="42" t="str">
        <f>+IF($G$5=0,"",'4. '!F46)</f>
        <v/>
      </c>
      <c r="H200" s="42" t="str">
        <f>+IF($H$5=0,"",'4. '!G46)</f>
        <v/>
      </c>
      <c r="I200" s="42" t="str">
        <f>+IF($I$5=0,"",'4. '!H46)</f>
        <v/>
      </c>
      <c r="J200" s="42" t="str">
        <f>+IF($J$5=0,"",'4. '!I46)</f>
        <v/>
      </c>
      <c r="K200" s="42" t="str">
        <f>+IF($K$5=0,"",'4. '!J46)</f>
        <v/>
      </c>
      <c r="L200" s="42" t="str">
        <f>+IF($L$5=0,"",'4. '!K46)</f>
        <v/>
      </c>
      <c r="M200" s="42" t="str">
        <f>+IF($M$5=0,"",'4. '!L46)</f>
        <v/>
      </c>
      <c r="N200" s="42" t="str">
        <f>+IF($N$5=0,"",'4. '!M46)</f>
        <v/>
      </c>
      <c r="O200" s="42" t="str">
        <f>+IF($O$5=0,"",'4. '!N46)</f>
        <v/>
      </c>
      <c r="P200" s="42" t="str">
        <f>+IF($P$5=0,"",'4. '!O46)</f>
        <v/>
      </c>
      <c r="Q200" s="42" t="str">
        <f>+IF($Q$5=0,"",'4. '!P46)</f>
        <v/>
      </c>
      <c r="R200" s="42" t="str">
        <f>+IF($R$5=0,"",'4. '!Q46)</f>
        <v/>
      </c>
      <c r="S200" s="42" t="str">
        <f>+IF($S$5=0,"",'4. '!R46)</f>
        <v/>
      </c>
      <c r="T200" s="42" t="str">
        <f>+IF($T$5=0,"",'4. '!S46)</f>
        <v/>
      </c>
      <c r="U200" s="42" t="str">
        <f>+IF($U$5=0,"",'4. '!T46)</f>
        <v/>
      </c>
      <c r="V200" s="42" t="str">
        <f>+IF($V$5=0,"",'4. '!U46)</f>
        <v/>
      </c>
      <c r="W200" s="42" t="str">
        <f>+IF($W$5=0,"",'4. '!V46)</f>
        <v/>
      </c>
      <c r="X200" s="42" t="str">
        <f>+IF($X$5=0,"",'4. '!W46)</f>
        <v/>
      </c>
      <c r="Y200" s="42" t="str">
        <f>+IF($Y$5=0,"",'4. '!X46)</f>
        <v/>
      </c>
      <c r="Z200" s="42" t="str">
        <f>+IF($Z$5=0,"",'4. '!Y46)</f>
        <v/>
      </c>
      <c r="AA200" s="42" t="str">
        <f>+IF($AA$5=0,"",'4. '!Z46)</f>
        <v/>
      </c>
      <c r="AB200" s="42" t="str">
        <f>+IF($AB$5=0,"",'4. '!AA46)</f>
        <v/>
      </c>
      <c r="AC200" s="42" t="str">
        <f>+IF($AC$5=0,"",'4. '!AB46)</f>
        <v/>
      </c>
      <c r="AD200" s="42" t="str">
        <f>+IF($AD$5=0,"",'4. '!AC46)</f>
        <v/>
      </c>
      <c r="AE200" s="42" t="str">
        <f>+IF($AE$5=0,"",'4. '!AD46)</f>
        <v/>
      </c>
      <c r="AF200" s="42" t="str">
        <f>+IF($AF$5=0,"",'4. '!AE46)</f>
        <v/>
      </c>
      <c r="AG200" s="50" t="e">
        <f t="shared" si="4"/>
        <v>#DIV/0!</v>
      </c>
      <c r="AH200" s="6"/>
      <c r="AI200"/>
      <c r="AJ200"/>
    </row>
    <row r="201" spans="1:36" s="1" customFormat="1" ht="15.75" thickBot="1" x14ac:dyDescent="0.3">
      <c r="A201"/>
      <c r="B201" s="10" t="s">
        <v>162</v>
      </c>
      <c r="C201" s="42" t="str">
        <f>+IF($C$5=0,"",'4. '!B104)</f>
        <v/>
      </c>
      <c r="D201" s="42" t="str">
        <f>+IF($D$5=0,"",'4. '!C104)</f>
        <v/>
      </c>
      <c r="E201" s="42" t="str">
        <f>+IF($E$5=0,"",'4. '!D104)</f>
        <v/>
      </c>
      <c r="F201" s="42" t="str">
        <f>+IF($F$5=0,"",'4. '!E104)</f>
        <v/>
      </c>
      <c r="G201" s="42" t="str">
        <f>+IF($G$5=0,"",'4. '!F104)</f>
        <v/>
      </c>
      <c r="H201" s="42" t="str">
        <f>+IF($H$5=0,"",'4. '!G104)</f>
        <v/>
      </c>
      <c r="I201" s="42" t="str">
        <f>+IF($I$5=0,"",'4. '!H104)</f>
        <v/>
      </c>
      <c r="J201" s="42" t="str">
        <f>+IF($J$5=0,"",'4. '!I104)</f>
        <v/>
      </c>
      <c r="K201" s="42" t="str">
        <f>+IF($K$5=0,"",'4. '!J104)</f>
        <v/>
      </c>
      <c r="L201" s="42" t="str">
        <f>+IF($L$5=0,"",'4. '!K104)</f>
        <v/>
      </c>
      <c r="M201" s="42" t="str">
        <f>+IF($M$5=0,"",'4. '!L104)</f>
        <v/>
      </c>
      <c r="N201" s="42" t="str">
        <f>+IF($N$5=0,"",'4. '!M104)</f>
        <v/>
      </c>
      <c r="O201" s="42" t="str">
        <f>+IF($O$5=0,"",'4. '!N104)</f>
        <v/>
      </c>
      <c r="P201" s="42" t="str">
        <f>+IF($P$5=0,"",'4. '!O104)</f>
        <v/>
      </c>
      <c r="Q201" s="42" t="str">
        <f>+IF($Q$5=0,"",'4. '!P104)</f>
        <v/>
      </c>
      <c r="R201" s="42" t="str">
        <f>+IF($R$5=0,"",'4. '!Q104)</f>
        <v/>
      </c>
      <c r="S201" s="42" t="str">
        <f>+IF($S$5=0,"",'4. '!R104)</f>
        <v/>
      </c>
      <c r="T201" s="42" t="str">
        <f>+IF($T$5=0,"",'4. '!S104)</f>
        <v/>
      </c>
      <c r="U201" s="42" t="str">
        <f>+IF($U$5=0,"",'4. '!T104)</f>
        <v/>
      </c>
      <c r="V201" s="42" t="str">
        <f>+IF($V$5=0,"",'4. '!U104)</f>
        <v/>
      </c>
      <c r="W201" s="42" t="str">
        <f>+IF($W$5=0,"",'4. '!V104)</f>
        <v/>
      </c>
      <c r="X201" s="42" t="str">
        <f>+IF($X$5=0,"",'4. '!W104)</f>
        <v/>
      </c>
      <c r="Y201" s="42" t="str">
        <f>+IF($Y$5=0,"",'4. '!X104)</f>
        <v/>
      </c>
      <c r="Z201" s="42" t="str">
        <f>+IF($Z$5=0,"",'4. '!Y104)</f>
        <v/>
      </c>
      <c r="AA201" s="42" t="str">
        <f>+IF($AA$5=0,"",'4. '!Z104)</f>
        <v/>
      </c>
      <c r="AB201" s="42" t="str">
        <f>+IF($AB$5=0,"",'4. '!AA104)</f>
        <v/>
      </c>
      <c r="AC201" s="42" t="str">
        <f>+IF($AC$5=0,"",'4. '!AB104)</f>
        <v/>
      </c>
      <c r="AD201" s="42" t="str">
        <f>+IF($AD$5=0,"",'4. '!AC104)</f>
        <v/>
      </c>
      <c r="AE201" s="42" t="str">
        <f>+IF($AE$5=0,"",'4. '!AD104)</f>
        <v/>
      </c>
      <c r="AF201" s="42" t="str">
        <f>+IF($AF$5=0,"",'4. '!AE104)</f>
        <v/>
      </c>
      <c r="AG201" s="50" t="e">
        <f t="shared" si="4"/>
        <v>#DIV/0!</v>
      </c>
      <c r="AH201" s="6"/>
      <c r="AI201"/>
      <c r="AJ201"/>
    </row>
    <row r="202" spans="1:36" s="1" customFormat="1" ht="15.75" thickBot="1" x14ac:dyDescent="0.3">
      <c r="A202"/>
      <c r="B202" s="11" t="s">
        <v>164</v>
      </c>
      <c r="C202" s="42" t="str">
        <f>+IF($C$5=0,"",'4. '!B106)</f>
        <v/>
      </c>
      <c r="D202" s="42" t="str">
        <f>+IF($D$5=0,"",'4. '!C106)</f>
        <v/>
      </c>
      <c r="E202" s="42" t="str">
        <f>+IF($E$5=0,"",'4. '!D106)</f>
        <v/>
      </c>
      <c r="F202" s="42" t="str">
        <f>+IF($F$5=0,"",'4. '!E106)</f>
        <v/>
      </c>
      <c r="G202" s="42" t="str">
        <f>+IF($G$5=0,"",'4. '!F106)</f>
        <v/>
      </c>
      <c r="H202" s="42" t="str">
        <f>+IF($H$5=0,"",'4. '!G106)</f>
        <v/>
      </c>
      <c r="I202" s="42" t="str">
        <f>+IF($I$5=0,"",'4. '!H106)</f>
        <v/>
      </c>
      <c r="J202" s="42" t="str">
        <f>+IF($J$5=0,"",'4. '!I106)</f>
        <v/>
      </c>
      <c r="K202" s="42" t="str">
        <f>+IF($K$5=0,"",'4. '!J106)</f>
        <v/>
      </c>
      <c r="L202" s="42" t="str">
        <f>+IF($L$5=0,"",'4. '!K106)</f>
        <v/>
      </c>
      <c r="M202" s="42" t="str">
        <f>+IF($M$5=0,"",'4. '!L106)</f>
        <v/>
      </c>
      <c r="N202" s="42" t="str">
        <f>+IF($N$5=0,"",'4. '!M106)</f>
        <v/>
      </c>
      <c r="O202" s="42" t="str">
        <f>+IF($O$5=0,"",'4. '!N106)</f>
        <v/>
      </c>
      <c r="P202" s="42" t="str">
        <f>+IF($P$5=0,"",'4. '!O106)</f>
        <v/>
      </c>
      <c r="Q202" s="42" t="str">
        <f>+IF($Q$5=0,"",'4. '!P106)</f>
        <v/>
      </c>
      <c r="R202" s="42" t="str">
        <f>+IF($R$5=0,"",'4. '!Q106)</f>
        <v/>
      </c>
      <c r="S202" s="42" t="str">
        <f>+IF($S$5=0,"",'4. '!R106)</f>
        <v/>
      </c>
      <c r="T202" s="42" t="str">
        <f>+IF($T$5=0,"",'4. '!S106)</f>
        <v/>
      </c>
      <c r="U202" s="42" t="str">
        <f>+IF($U$5=0,"",'4. '!T106)</f>
        <v/>
      </c>
      <c r="V202" s="42" t="str">
        <f>+IF($V$5=0,"",'4. '!U106)</f>
        <v/>
      </c>
      <c r="W202" s="42" t="str">
        <f>+IF($W$5=0,"",'4. '!V106)</f>
        <v/>
      </c>
      <c r="X202" s="42" t="str">
        <f>+IF($X$5=0,"",'4. '!W106)</f>
        <v/>
      </c>
      <c r="Y202" s="42" t="str">
        <f>+IF($Y$5=0,"",'4. '!X106)</f>
        <v/>
      </c>
      <c r="Z202" s="42" t="str">
        <f>+IF($Z$5=0,"",'4. '!Y106)</f>
        <v/>
      </c>
      <c r="AA202" s="42" t="str">
        <f>+IF($AA$5=0,"",'4. '!Z106)</f>
        <v/>
      </c>
      <c r="AB202" s="42" t="str">
        <f>+IF($AB$5=0,"",'4. '!AA106)</f>
        <v/>
      </c>
      <c r="AC202" s="42" t="str">
        <f>+IF($AC$5=0,"",'4. '!AB106)</f>
        <v/>
      </c>
      <c r="AD202" s="42" t="str">
        <f>+IF($AD$5=0,"",'4. '!AC106)</f>
        <v/>
      </c>
      <c r="AE202" s="42" t="str">
        <f>+IF($AE$5=0,"",'4. '!AD106)</f>
        <v/>
      </c>
      <c r="AF202" s="42" t="str">
        <f>+IF($AF$5=0,"",'4. '!AE106)</f>
        <v/>
      </c>
      <c r="AG202" s="50" t="e">
        <f t="shared" si="4"/>
        <v>#DIV/0!</v>
      </c>
      <c r="AH202" s="6"/>
      <c r="AI202"/>
      <c r="AJ202"/>
    </row>
    <row r="203" spans="1:36" s="1" customFormat="1" ht="15.75" thickBot="1" x14ac:dyDescent="0.3">
      <c r="A203"/>
      <c r="B203" s="10" t="s">
        <v>169</v>
      </c>
      <c r="C203" s="42" t="str">
        <f>+IF($C$5=0,"",'4. '!B111)</f>
        <v/>
      </c>
      <c r="D203" s="42" t="str">
        <f>+IF($D$5=0,"",'4. '!C111)</f>
        <v/>
      </c>
      <c r="E203" s="42" t="str">
        <f>+IF($E$5=0,"",'4. '!D111)</f>
        <v/>
      </c>
      <c r="F203" s="42" t="str">
        <f>+IF($F$5=0,"",'4. '!E111)</f>
        <v/>
      </c>
      <c r="G203" s="42" t="str">
        <f>+IF($G$5=0,"",'4. '!F111)</f>
        <v/>
      </c>
      <c r="H203" s="42" t="str">
        <f>+IF($H$5=0,"",'4. '!G111)</f>
        <v/>
      </c>
      <c r="I203" s="42" t="str">
        <f>+IF($I$5=0,"",'4. '!H111)</f>
        <v/>
      </c>
      <c r="J203" s="42" t="str">
        <f>+IF($J$5=0,"",'4. '!I111)</f>
        <v/>
      </c>
      <c r="K203" s="42" t="str">
        <f>+IF($K$5=0,"",'4. '!J111)</f>
        <v/>
      </c>
      <c r="L203" s="42" t="str">
        <f>+IF($L$5=0,"",'4. '!K111)</f>
        <v/>
      </c>
      <c r="M203" s="42" t="str">
        <f>+IF($M$5=0,"",'4. '!L111)</f>
        <v/>
      </c>
      <c r="N203" s="42" t="str">
        <f>+IF($N$5=0,"",'4. '!M111)</f>
        <v/>
      </c>
      <c r="O203" s="42" t="str">
        <f>+IF($O$5=0,"",'4. '!N111)</f>
        <v/>
      </c>
      <c r="P203" s="42" t="str">
        <f>+IF($P$5=0,"",'4. '!O111)</f>
        <v/>
      </c>
      <c r="Q203" s="42" t="str">
        <f>+IF($Q$5=0,"",'4. '!P111)</f>
        <v/>
      </c>
      <c r="R203" s="42" t="str">
        <f>+IF($R$5=0,"",'4. '!Q111)</f>
        <v/>
      </c>
      <c r="S203" s="42" t="str">
        <f>+IF($S$5=0,"",'4. '!R111)</f>
        <v/>
      </c>
      <c r="T203" s="42" t="str">
        <f>+IF($T$5=0,"",'4. '!S111)</f>
        <v/>
      </c>
      <c r="U203" s="42" t="str">
        <f>+IF($U$5=0,"",'4. '!T111)</f>
        <v/>
      </c>
      <c r="V203" s="42" t="str">
        <f>+IF($V$5=0,"",'4. '!U111)</f>
        <v/>
      </c>
      <c r="W203" s="42" t="str">
        <f>+IF($W$5=0,"",'4. '!V111)</f>
        <v/>
      </c>
      <c r="X203" s="42" t="str">
        <f>+IF($X$5=0,"",'4. '!W111)</f>
        <v/>
      </c>
      <c r="Y203" s="42" t="str">
        <f>+IF($Y$5=0,"",'4. '!X111)</f>
        <v/>
      </c>
      <c r="Z203" s="42" t="str">
        <f>+IF($Z$5=0,"",'4. '!Y111)</f>
        <v/>
      </c>
      <c r="AA203" s="42" t="str">
        <f>+IF($AA$5=0,"",'4. '!Z111)</f>
        <v/>
      </c>
      <c r="AB203" s="42" t="str">
        <f>+IF($AB$5=0,"",'4. '!AA111)</f>
        <v/>
      </c>
      <c r="AC203" s="42" t="str">
        <f>+IF($AC$5=0,"",'4. '!AB111)</f>
        <v/>
      </c>
      <c r="AD203" s="42" t="str">
        <f>+IF($AD$5=0,"",'4. '!AC111)</f>
        <v/>
      </c>
      <c r="AE203" s="42" t="str">
        <f>+IF($AE$5=0,"",'4. '!AD111)</f>
        <v/>
      </c>
      <c r="AF203" s="42" t="str">
        <f>+IF($AF$5=0,"",'4. '!AE111)</f>
        <v/>
      </c>
      <c r="AG203" s="50" t="e">
        <f t="shared" si="4"/>
        <v>#DIV/0!</v>
      </c>
      <c r="AH203" s="6"/>
      <c r="AI203"/>
      <c r="AJ203"/>
    </row>
    <row r="204" spans="1:36" s="1" customFormat="1" ht="15.75" thickBot="1" x14ac:dyDescent="0.3">
      <c r="A204"/>
      <c r="B204" s="11" t="s">
        <v>68</v>
      </c>
      <c r="C204" s="42" t="str">
        <f>+IF($C$5=0,"",'4. '!B23)</f>
        <v/>
      </c>
      <c r="D204" s="42" t="str">
        <f>+IF($D$5=0,"",'4. '!C23)</f>
        <v/>
      </c>
      <c r="E204" s="42" t="str">
        <f>+IF($E$5=0,"",'4. '!D23)</f>
        <v/>
      </c>
      <c r="F204" s="42" t="str">
        <f>+IF($F$5=0,"",'4. '!E23)</f>
        <v/>
      </c>
      <c r="G204" s="42" t="str">
        <f>+IF($G$5=0,"",'4. '!F23)</f>
        <v/>
      </c>
      <c r="H204" s="42" t="str">
        <f>+IF($H$5=0,"",'4. '!G23)</f>
        <v/>
      </c>
      <c r="I204" s="42" t="str">
        <f>+IF($I$5=0,"",'4. '!H23)</f>
        <v/>
      </c>
      <c r="J204" s="42" t="str">
        <f>+IF($J$5=0,"",'4. '!I23)</f>
        <v/>
      </c>
      <c r="K204" s="42" t="str">
        <f>+IF($K$5=0,"",'4. '!J23)</f>
        <v/>
      </c>
      <c r="L204" s="42" t="str">
        <f>+IF($L$5=0,"",'4. '!K23)</f>
        <v/>
      </c>
      <c r="M204" s="42" t="str">
        <f>+IF($M$5=0,"",'4. '!L23)</f>
        <v/>
      </c>
      <c r="N204" s="42" t="str">
        <f>+IF($N$5=0,"",'4. '!M23)</f>
        <v/>
      </c>
      <c r="O204" s="42" t="str">
        <f>+IF($O$5=0,"",'4. '!N23)</f>
        <v/>
      </c>
      <c r="P204" s="42" t="str">
        <f>+IF($P$5=0,"",'4. '!O23)</f>
        <v/>
      </c>
      <c r="Q204" s="42" t="str">
        <f>+IF($Q$5=0,"",'4. '!P23)</f>
        <v/>
      </c>
      <c r="R204" s="42" t="str">
        <f>+IF($R$5=0,"",'4. '!Q23)</f>
        <v/>
      </c>
      <c r="S204" s="42" t="str">
        <f>+IF($S$5=0,"",'4. '!R23)</f>
        <v/>
      </c>
      <c r="T204" s="42" t="str">
        <f>+IF($T$5=0,"",'4. '!S23)</f>
        <v/>
      </c>
      <c r="U204" s="42" t="str">
        <f>+IF($U$5=0,"",'4. '!T23)</f>
        <v/>
      </c>
      <c r="V204" s="42" t="str">
        <f>+IF($V$5=0,"",'4. '!U23)</f>
        <v/>
      </c>
      <c r="W204" s="42" t="str">
        <f>+IF($W$5=0,"",'4. '!V23)</f>
        <v/>
      </c>
      <c r="X204" s="42" t="str">
        <f>+IF($X$5=0,"",'4. '!W23)</f>
        <v/>
      </c>
      <c r="Y204" s="42" t="str">
        <f>+IF($Y$5=0,"",'4. '!X23)</f>
        <v/>
      </c>
      <c r="Z204" s="42" t="str">
        <f>+IF($Z$5=0,"",'4. '!Y23)</f>
        <v/>
      </c>
      <c r="AA204" s="42" t="str">
        <f>+IF($AA$5=0,"",'4. '!Z23)</f>
        <v/>
      </c>
      <c r="AB204" s="42" t="str">
        <f>+IF($AB$5=0,"",'4. '!AA23)</f>
        <v/>
      </c>
      <c r="AC204" s="42" t="str">
        <f>+IF($AC$5=0,"",'4. '!AB23)</f>
        <v/>
      </c>
      <c r="AD204" s="42" t="str">
        <f>+IF($AD$5=0,"",'4. '!AC23)</f>
        <v/>
      </c>
      <c r="AE204" s="42" t="str">
        <f>+IF($AE$5=0,"",'4. '!AD23)</f>
        <v/>
      </c>
      <c r="AF204" s="42" t="str">
        <f>+IF($AF$5=0,"",'4. '!AE23)</f>
        <v/>
      </c>
      <c r="AG204" s="50" t="e">
        <f t="shared" si="4"/>
        <v>#DIV/0!</v>
      </c>
      <c r="AH204" s="6"/>
      <c r="AI204"/>
      <c r="AJ204"/>
    </row>
    <row r="205" spans="1:36" s="1" customFormat="1" ht="15.75" thickBot="1" x14ac:dyDescent="0.3">
      <c r="A205"/>
      <c r="B205" s="10" t="s">
        <v>166</v>
      </c>
      <c r="C205" s="42" t="str">
        <f>+IF($C$5=0,"",'4. '!B108)</f>
        <v/>
      </c>
      <c r="D205" s="42" t="str">
        <f>+IF($D$5=0,"",'4. '!C108)</f>
        <v/>
      </c>
      <c r="E205" s="42" t="str">
        <f>+IF($E$5=0,"",'4. '!D108)</f>
        <v/>
      </c>
      <c r="F205" s="42" t="str">
        <f>+IF($F$5=0,"",'4. '!E108)</f>
        <v/>
      </c>
      <c r="G205" s="42" t="str">
        <f>+IF($G$5=0,"",'4. '!F108)</f>
        <v/>
      </c>
      <c r="H205" s="42" t="str">
        <f>+IF($H$5=0,"",'4. '!G108)</f>
        <v/>
      </c>
      <c r="I205" s="42" t="str">
        <f>+IF($I$5=0,"",'4. '!H108)</f>
        <v/>
      </c>
      <c r="J205" s="42" t="str">
        <f>+IF($J$5=0,"",'4. '!I108)</f>
        <v/>
      </c>
      <c r="K205" s="42" t="str">
        <f>+IF($K$5=0,"",'4. '!J108)</f>
        <v/>
      </c>
      <c r="L205" s="42" t="str">
        <f>+IF($L$5=0,"",'4. '!K108)</f>
        <v/>
      </c>
      <c r="M205" s="42" t="str">
        <f>+IF($M$5=0,"",'4. '!L108)</f>
        <v/>
      </c>
      <c r="N205" s="42" t="str">
        <f>+IF($N$5=0,"",'4. '!M108)</f>
        <v/>
      </c>
      <c r="O205" s="42" t="str">
        <f>+IF($O$5=0,"",'4. '!N108)</f>
        <v/>
      </c>
      <c r="P205" s="42" t="str">
        <f>+IF($P$5=0,"",'4. '!O108)</f>
        <v/>
      </c>
      <c r="Q205" s="42" t="str">
        <f>+IF($Q$5=0,"",'4. '!P108)</f>
        <v/>
      </c>
      <c r="R205" s="42" t="str">
        <f>+IF($R$5=0,"",'4. '!Q108)</f>
        <v/>
      </c>
      <c r="S205" s="42" t="str">
        <f>+IF($S$5=0,"",'4. '!R108)</f>
        <v/>
      </c>
      <c r="T205" s="42" t="str">
        <f>+IF($T$5=0,"",'4. '!S108)</f>
        <v/>
      </c>
      <c r="U205" s="42" t="str">
        <f>+IF($U$5=0,"",'4. '!T108)</f>
        <v/>
      </c>
      <c r="V205" s="42" t="str">
        <f>+IF($V$5=0,"",'4. '!U108)</f>
        <v/>
      </c>
      <c r="W205" s="42" t="str">
        <f>+IF($W$5=0,"",'4. '!V108)</f>
        <v/>
      </c>
      <c r="X205" s="42" t="str">
        <f>+IF($X$5=0,"",'4. '!W108)</f>
        <v/>
      </c>
      <c r="Y205" s="42" t="str">
        <f>+IF($Y$5=0,"",'4. '!X108)</f>
        <v/>
      </c>
      <c r="Z205" s="42" t="str">
        <f>+IF($Z$5=0,"",'4. '!Y108)</f>
        <v/>
      </c>
      <c r="AA205" s="42" t="str">
        <f>+IF($AA$5=0,"",'4. '!Z108)</f>
        <v/>
      </c>
      <c r="AB205" s="42" t="str">
        <f>+IF($AB$5=0,"",'4. '!AA108)</f>
        <v/>
      </c>
      <c r="AC205" s="42" t="str">
        <f>+IF($AC$5=0,"",'4. '!AB108)</f>
        <v/>
      </c>
      <c r="AD205" s="42" t="str">
        <f>+IF($AD$5=0,"",'4. '!AC108)</f>
        <v/>
      </c>
      <c r="AE205" s="42" t="str">
        <f>+IF($AE$5=0,"",'4. '!AD108)</f>
        <v/>
      </c>
      <c r="AF205" s="42" t="str">
        <f>+IF($AF$5=0,"",'4. '!AE108)</f>
        <v/>
      </c>
      <c r="AG205" s="50" t="e">
        <f t="shared" si="4"/>
        <v>#DIV/0!</v>
      </c>
      <c r="AH205" s="6"/>
      <c r="AI205"/>
      <c r="AJ205"/>
    </row>
    <row r="206" spans="1:36" s="1" customFormat="1" ht="15.75" thickBot="1" x14ac:dyDescent="0.3">
      <c r="A206"/>
      <c r="B206" s="11" t="s">
        <v>71</v>
      </c>
      <c r="C206" s="42" t="str">
        <f>+IF($C$5=0,"",'4. '!B25)</f>
        <v/>
      </c>
      <c r="D206" s="42" t="str">
        <f>+IF($D$5=0,"",'4. '!C25)</f>
        <v/>
      </c>
      <c r="E206" s="42" t="str">
        <f>+IF($E$5=0,"",'4. '!D25)</f>
        <v/>
      </c>
      <c r="F206" s="42" t="str">
        <f>+IF($F$5=0,"",'4. '!E25)</f>
        <v/>
      </c>
      <c r="G206" s="42" t="str">
        <f>+IF($G$5=0,"",'4. '!F25)</f>
        <v/>
      </c>
      <c r="H206" s="42" t="str">
        <f>+IF($H$5=0,"",'4. '!G25)</f>
        <v/>
      </c>
      <c r="I206" s="42" t="str">
        <f>+IF($I$5=0,"",'4. '!H25)</f>
        <v/>
      </c>
      <c r="J206" s="42" t="str">
        <f>+IF($J$5=0,"",'4. '!I25)</f>
        <v/>
      </c>
      <c r="K206" s="42" t="str">
        <f>+IF($K$5=0,"",'4. '!J25)</f>
        <v/>
      </c>
      <c r="L206" s="42" t="str">
        <f>+IF($L$5=0,"",'4. '!K25)</f>
        <v/>
      </c>
      <c r="M206" s="42" t="str">
        <f>+IF($M$5=0,"",'4. '!L25)</f>
        <v/>
      </c>
      <c r="N206" s="42" t="str">
        <f>+IF($N$5=0,"",'4. '!M25)</f>
        <v/>
      </c>
      <c r="O206" s="42" t="str">
        <f>+IF($O$5=0,"",'4. '!N25)</f>
        <v/>
      </c>
      <c r="P206" s="42" t="str">
        <f>+IF($P$5=0,"",'4. '!O25)</f>
        <v/>
      </c>
      <c r="Q206" s="42" t="str">
        <f>+IF($Q$5=0,"",'4. '!P25)</f>
        <v/>
      </c>
      <c r="R206" s="42" t="str">
        <f>+IF($R$5=0,"",'4. '!Q25)</f>
        <v/>
      </c>
      <c r="S206" s="42" t="str">
        <f>+IF($S$5=0,"",'4. '!R25)</f>
        <v/>
      </c>
      <c r="T206" s="42" t="str">
        <f>+IF($T$5=0,"",'4. '!S25)</f>
        <v/>
      </c>
      <c r="U206" s="42" t="str">
        <f>+IF($U$5=0,"",'4. '!T25)</f>
        <v/>
      </c>
      <c r="V206" s="42" t="str">
        <f>+IF($V$5=0,"",'4. '!U25)</f>
        <v/>
      </c>
      <c r="W206" s="42" t="str">
        <f>+IF($W$5=0,"",'4. '!V25)</f>
        <v/>
      </c>
      <c r="X206" s="42" t="str">
        <f>+IF($X$5=0,"",'4. '!W25)</f>
        <v/>
      </c>
      <c r="Y206" s="42" t="str">
        <f>+IF($Y$5=0,"",'4. '!X25)</f>
        <v/>
      </c>
      <c r="Z206" s="42" t="str">
        <f>+IF($Z$5=0,"",'4. '!Y25)</f>
        <v/>
      </c>
      <c r="AA206" s="42" t="str">
        <f>+IF($AA$5=0,"",'4. '!Z25)</f>
        <v/>
      </c>
      <c r="AB206" s="42" t="str">
        <f>+IF($AB$5=0,"",'4. '!AA25)</f>
        <v/>
      </c>
      <c r="AC206" s="42" t="str">
        <f>+IF($AC$5=0,"",'4. '!AB25)</f>
        <v/>
      </c>
      <c r="AD206" s="42" t="str">
        <f>+IF($AD$5=0,"",'4. '!AC25)</f>
        <v/>
      </c>
      <c r="AE206" s="42" t="str">
        <f>+IF($AE$5=0,"",'4. '!AD25)</f>
        <v/>
      </c>
      <c r="AF206" s="42" t="str">
        <f>+IF($AF$5=0,"",'4. '!AE25)</f>
        <v/>
      </c>
      <c r="AG206" s="50" t="e">
        <f t="shared" si="4"/>
        <v>#DIV/0!</v>
      </c>
      <c r="AH206" s="6"/>
      <c r="AI206"/>
      <c r="AJ206"/>
    </row>
    <row r="207" spans="1:36" s="1" customFormat="1" ht="15.75" thickBot="1" x14ac:dyDescent="0.3">
      <c r="A207"/>
      <c r="B207" s="10" t="s">
        <v>76</v>
      </c>
      <c r="C207" s="42" t="str">
        <f>+IF($C$5=0,"",'4. '!B30)</f>
        <v/>
      </c>
      <c r="D207" s="42" t="str">
        <f>+IF($D$5=0,"",'4. '!C30)</f>
        <v/>
      </c>
      <c r="E207" s="42" t="str">
        <f>+IF($E$5=0,"",'4. '!D30)</f>
        <v/>
      </c>
      <c r="F207" s="42" t="str">
        <f>+IF($F$5=0,"",'4. '!E30)</f>
        <v/>
      </c>
      <c r="G207" s="42" t="str">
        <f>+IF($G$5=0,"",'4. '!F30)</f>
        <v/>
      </c>
      <c r="H207" s="42" t="str">
        <f>+IF($H$5=0,"",'4. '!G30)</f>
        <v/>
      </c>
      <c r="I207" s="42" t="str">
        <f>+IF($I$5=0,"",'4. '!H30)</f>
        <v/>
      </c>
      <c r="J207" s="42" t="str">
        <f>+IF($J$5=0,"",'4. '!I30)</f>
        <v/>
      </c>
      <c r="K207" s="42" t="str">
        <f>+IF($K$5=0,"",'4. '!J30)</f>
        <v/>
      </c>
      <c r="L207" s="42" t="str">
        <f>+IF($L$5=0,"",'4. '!K30)</f>
        <v/>
      </c>
      <c r="M207" s="42" t="str">
        <f>+IF($M$5=0,"",'4. '!L30)</f>
        <v/>
      </c>
      <c r="N207" s="42" t="str">
        <f>+IF($N$5=0,"",'4. '!M30)</f>
        <v/>
      </c>
      <c r="O207" s="42" t="str">
        <f>+IF($O$5=0,"",'4. '!N30)</f>
        <v/>
      </c>
      <c r="P207" s="42" t="str">
        <f>+IF($P$5=0,"",'4. '!O30)</f>
        <v/>
      </c>
      <c r="Q207" s="42" t="str">
        <f>+IF($Q$5=0,"",'4. '!P30)</f>
        <v/>
      </c>
      <c r="R207" s="42" t="str">
        <f>+IF($R$5=0,"",'4. '!Q30)</f>
        <v/>
      </c>
      <c r="S207" s="42" t="str">
        <f>+IF($S$5=0,"",'4. '!R30)</f>
        <v/>
      </c>
      <c r="T207" s="42" t="str">
        <f>+IF($T$5=0,"",'4. '!S30)</f>
        <v/>
      </c>
      <c r="U207" s="42" t="str">
        <f>+IF($U$5=0,"",'4. '!T30)</f>
        <v/>
      </c>
      <c r="V207" s="42" t="str">
        <f>+IF($V$5=0,"",'4. '!U30)</f>
        <v/>
      </c>
      <c r="W207" s="42" t="str">
        <f>+IF($W$5=0,"",'4. '!V30)</f>
        <v/>
      </c>
      <c r="X207" s="42" t="str">
        <f>+IF($X$5=0,"",'4. '!W30)</f>
        <v/>
      </c>
      <c r="Y207" s="42" t="str">
        <f>+IF($Y$5=0,"",'4. '!X30)</f>
        <v/>
      </c>
      <c r="Z207" s="42" t="str">
        <f>+IF($Z$5=0,"",'4. '!Y30)</f>
        <v/>
      </c>
      <c r="AA207" s="42" t="str">
        <f>+IF($AA$5=0,"",'4. '!Z30)</f>
        <v/>
      </c>
      <c r="AB207" s="42" t="str">
        <f>+IF($AB$5=0,"",'4. '!AA30)</f>
        <v/>
      </c>
      <c r="AC207" s="42" t="str">
        <f>+IF($AC$5=0,"",'4. '!AB30)</f>
        <v/>
      </c>
      <c r="AD207" s="42" t="str">
        <f>+IF($AD$5=0,"",'4. '!AC30)</f>
        <v/>
      </c>
      <c r="AE207" s="42" t="str">
        <f>+IF($AE$5=0,"",'4. '!AD30)</f>
        <v/>
      </c>
      <c r="AF207" s="42" t="str">
        <f>+IF($AF$5=0,"",'4. '!AE30)</f>
        <v/>
      </c>
      <c r="AG207" s="50" t="e">
        <f t="shared" si="4"/>
        <v>#DIV/0!</v>
      </c>
      <c r="AH207" s="6"/>
      <c r="AI207"/>
      <c r="AJ207"/>
    </row>
    <row r="208" spans="1:36" s="1" customFormat="1" ht="15.75" thickBot="1" x14ac:dyDescent="0.3">
      <c r="A208"/>
      <c r="B208" s="11" t="s">
        <v>73</v>
      </c>
      <c r="C208" s="42" t="str">
        <f>+IF($C$5=0,"",'4. '!B27)</f>
        <v/>
      </c>
      <c r="D208" s="42" t="str">
        <f>+IF($D$5=0,"",'4. '!C27)</f>
        <v/>
      </c>
      <c r="E208" s="42" t="str">
        <f>+IF($E$5=0,"",'4. '!D27)</f>
        <v/>
      </c>
      <c r="F208" s="42" t="str">
        <f>+IF($F$5=0,"",'4. '!E27)</f>
        <v/>
      </c>
      <c r="G208" s="42" t="str">
        <f>+IF($G$5=0,"",'4. '!F27)</f>
        <v/>
      </c>
      <c r="H208" s="42" t="str">
        <f>+IF($H$5=0,"",'4. '!G27)</f>
        <v/>
      </c>
      <c r="I208" s="42" t="str">
        <f>+IF($I$5=0,"",'4. '!H27)</f>
        <v/>
      </c>
      <c r="J208" s="42" t="str">
        <f>+IF($J$5=0,"",'4. '!I27)</f>
        <v/>
      </c>
      <c r="K208" s="42" t="str">
        <f>+IF($K$5=0,"",'4. '!J27)</f>
        <v/>
      </c>
      <c r="L208" s="42" t="str">
        <f>+IF($L$5=0,"",'4. '!K27)</f>
        <v/>
      </c>
      <c r="M208" s="42" t="str">
        <f>+IF($M$5=0,"",'4. '!L27)</f>
        <v/>
      </c>
      <c r="N208" s="42" t="str">
        <f>+IF($N$5=0,"",'4. '!M27)</f>
        <v/>
      </c>
      <c r="O208" s="42" t="str">
        <f>+IF($O$5=0,"",'4. '!N27)</f>
        <v/>
      </c>
      <c r="P208" s="42" t="str">
        <f>+IF($P$5=0,"",'4. '!O27)</f>
        <v/>
      </c>
      <c r="Q208" s="42" t="str">
        <f>+IF($Q$5=0,"",'4. '!P27)</f>
        <v/>
      </c>
      <c r="R208" s="42" t="str">
        <f>+IF($R$5=0,"",'4. '!Q27)</f>
        <v/>
      </c>
      <c r="S208" s="42" t="str">
        <f>+IF($S$5=0,"",'4. '!R27)</f>
        <v/>
      </c>
      <c r="T208" s="42" t="str">
        <f>+IF($T$5=0,"",'4. '!S27)</f>
        <v/>
      </c>
      <c r="U208" s="42" t="str">
        <f>+IF($U$5=0,"",'4. '!T27)</f>
        <v/>
      </c>
      <c r="V208" s="42" t="str">
        <f>+IF($V$5=0,"",'4. '!U27)</f>
        <v/>
      </c>
      <c r="W208" s="42" t="str">
        <f>+IF($W$5=0,"",'4. '!V27)</f>
        <v/>
      </c>
      <c r="X208" s="42" t="str">
        <f>+IF($X$5=0,"",'4. '!W27)</f>
        <v/>
      </c>
      <c r="Y208" s="42" t="str">
        <f>+IF($Y$5=0,"",'4. '!X27)</f>
        <v/>
      </c>
      <c r="Z208" s="42" t="str">
        <f>+IF($Z$5=0,"",'4. '!Y27)</f>
        <v/>
      </c>
      <c r="AA208" s="42" t="str">
        <f>+IF($AA$5=0,"",'4. '!Z27)</f>
        <v/>
      </c>
      <c r="AB208" s="42" t="str">
        <f>+IF($AB$5=0,"",'4. '!AA27)</f>
        <v/>
      </c>
      <c r="AC208" s="42" t="str">
        <f>+IF($AC$5=0,"",'4. '!AB27)</f>
        <v/>
      </c>
      <c r="AD208" s="42" t="str">
        <f>+IF($AD$5=0,"",'4. '!AC27)</f>
        <v/>
      </c>
      <c r="AE208" s="42" t="str">
        <f>+IF($AE$5=0,"",'4. '!AD27)</f>
        <v/>
      </c>
      <c r="AF208" s="42" t="str">
        <f>+IF($AF$5=0,"",'4. '!AE27)</f>
        <v/>
      </c>
      <c r="AG208" s="50" t="e">
        <f t="shared" si="4"/>
        <v>#DIV/0!</v>
      </c>
      <c r="AH208" s="6"/>
      <c r="AI208"/>
      <c r="AJ208"/>
    </row>
    <row r="209" spans="1:36" s="1" customFormat="1" ht="15.75" thickBot="1" x14ac:dyDescent="0.3">
      <c r="A209"/>
      <c r="B209" s="10" t="s">
        <v>177</v>
      </c>
      <c r="C209" s="42" t="str">
        <f>+IF($C$5=0,"",'4. '!B119)</f>
        <v/>
      </c>
      <c r="D209" s="42" t="str">
        <f>+IF($D$5=0,"",'4. '!C119)</f>
        <v/>
      </c>
      <c r="E209" s="42" t="str">
        <f>+IF($E$5=0,"",'4. '!D119)</f>
        <v/>
      </c>
      <c r="F209" s="42" t="str">
        <f>+IF($F$5=0,"",'4. '!E119)</f>
        <v/>
      </c>
      <c r="G209" s="42" t="str">
        <f>+IF($G$5=0,"",'4. '!F119)</f>
        <v/>
      </c>
      <c r="H209" s="42" t="str">
        <f>+IF($H$5=0,"",'4. '!G119)</f>
        <v/>
      </c>
      <c r="I209" s="42" t="str">
        <f>+IF($I$5=0,"",'4. '!H119)</f>
        <v/>
      </c>
      <c r="J209" s="42" t="str">
        <f>+IF($J$5=0,"",'4. '!I119)</f>
        <v/>
      </c>
      <c r="K209" s="42" t="str">
        <f>+IF($K$5=0,"",'4. '!J119)</f>
        <v/>
      </c>
      <c r="L209" s="42" t="str">
        <f>+IF($L$5=0,"",'4. '!K119)</f>
        <v/>
      </c>
      <c r="M209" s="42" t="str">
        <f>+IF($M$5=0,"",'4. '!L119)</f>
        <v/>
      </c>
      <c r="N209" s="42" t="str">
        <f>+IF($N$5=0,"",'4. '!M119)</f>
        <v/>
      </c>
      <c r="O209" s="42" t="str">
        <f>+IF($O$5=0,"",'4. '!N119)</f>
        <v/>
      </c>
      <c r="P209" s="42" t="str">
        <f>+IF($P$5=0,"",'4. '!O119)</f>
        <v/>
      </c>
      <c r="Q209" s="42" t="str">
        <f>+IF($Q$5=0,"",'4. '!P119)</f>
        <v/>
      </c>
      <c r="R209" s="42" t="str">
        <f>+IF($R$5=0,"",'4. '!Q119)</f>
        <v/>
      </c>
      <c r="S209" s="42" t="str">
        <f>+IF($S$5=0,"",'4. '!R119)</f>
        <v/>
      </c>
      <c r="T209" s="42" t="str">
        <f>+IF($T$5=0,"",'4. '!S119)</f>
        <v/>
      </c>
      <c r="U209" s="42" t="str">
        <f>+IF($U$5=0,"",'4. '!T119)</f>
        <v/>
      </c>
      <c r="V209" s="42" t="str">
        <f>+IF($V$5=0,"",'4. '!U119)</f>
        <v/>
      </c>
      <c r="W209" s="42" t="str">
        <f>+IF($W$5=0,"",'4. '!V119)</f>
        <v/>
      </c>
      <c r="X209" s="42" t="str">
        <f>+IF($X$5=0,"",'4. '!W119)</f>
        <v/>
      </c>
      <c r="Y209" s="42" t="str">
        <f>+IF($Y$5=0,"",'4. '!X119)</f>
        <v/>
      </c>
      <c r="Z209" s="42" t="str">
        <f>+IF($Z$5=0,"",'4. '!Y119)</f>
        <v/>
      </c>
      <c r="AA209" s="42" t="str">
        <f>+IF($AA$5=0,"",'4. '!Z119)</f>
        <v/>
      </c>
      <c r="AB209" s="42" t="str">
        <f>+IF($AB$5=0,"",'4. '!AA119)</f>
        <v/>
      </c>
      <c r="AC209" s="42" t="str">
        <f>+IF($AC$5=0,"",'4. '!AB119)</f>
        <v/>
      </c>
      <c r="AD209" s="42" t="str">
        <f>+IF($AD$5=0,"",'4. '!AC119)</f>
        <v/>
      </c>
      <c r="AE209" s="42" t="str">
        <f>+IF($AE$5=0,"",'4. '!AD119)</f>
        <v/>
      </c>
      <c r="AF209" s="42" t="str">
        <f>+IF($AF$5=0,"",'4. '!AE119)</f>
        <v/>
      </c>
      <c r="AG209" s="50" t="e">
        <f t="shared" si="4"/>
        <v>#DIV/0!</v>
      </c>
      <c r="AH209" s="6"/>
      <c r="AI209"/>
      <c r="AJ209"/>
    </row>
    <row r="210" spans="1:36" s="1" customFormat="1" ht="15.75" thickBot="1" x14ac:dyDescent="0.3">
      <c r="A210"/>
      <c r="B210" s="11" t="s">
        <v>174</v>
      </c>
      <c r="C210" s="42" t="str">
        <f>+IF($C$5=0,"",'4. '!B116)</f>
        <v/>
      </c>
      <c r="D210" s="42" t="str">
        <f>+IF($D$5=0,"",'4. '!C116)</f>
        <v/>
      </c>
      <c r="E210" s="42" t="str">
        <f>+IF($E$5=0,"",'4. '!D116)</f>
        <v/>
      </c>
      <c r="F210" s="42" t="str">
        <f>+IF($F$5=0,"",'4. '!E116)</f>
        <v/>
      </c>
      <c r="G210" s="42" t="str">
        <f>+IF($G$5=0,"",'4. '!F116)</f>
        <v/>
      </c>
      <c r="H210" s="42" t="str">
        <f>+IF($H$5=0,"",'4. '!G116)</f>
        <v/>
      </c>
      <c r="I210" s="42" t="str">
        <f>+IF($I$5=0,"",'4. '!H116)</f>
        <v/>
      </c>
      <c r="J210" s="42" t="str">
        <f>+IF($J$5=0,"",'4. '!I116)</f>
        <v/>
      </c>
      <c r="K210" s="42" t="str">
        <f>+IF($K$5=0,"",'4. '!J116)</f>
        <v/>
      </c>
      <c r="L210" s="42" t="str">
        <f>+IF($L$5=0,"",'4. '!K116)</f>
        <v/>
      </c>
      <c r="M210" s="42" t="str">
        <f>+IF($M$5=0,"",'4. '!L116)</f>
        <v/>
      </c>
      <c r="N210" s="42" t="str">
        <f>+IF($N$5=0,"",'4. '!M116)</f>
        <v/>
      </c>
      <c r="O210" s="42" t="str">
        <f>+IF($O$5=0,"",'4. '!N116)</f>
        <v/>
      </c>
      <c r="P210" s="42" t="str">
        <f>+IF($P$5=0,"",'4. '!O116)</f>
        <v/>
      </c>
      <c r="Q210" s="42" t="str">
        <f>+IF($Q$5=0,"",'4. '!P116)</f>
        <v/>
      </c>
      <c r="R210" s="42" t="str">
        <f>+IF($R$5=0,"",'4. '!Q116)</f>
        <v/>
      </c>
      <c r="S210" s="42" t="str">
        <f>+IF($S$5=0,"",'4. '!R116)</f>
        <v/>
      </c>
      <c r="T210" s="42" t="str">
        <f>+IF($T$5=0,"",'4. '!S116)</f>
        <v/>
      </c>
      <c r="U210" s="42" t="str">
        <f>+IF($U$5=0,"",'4. '!T116)</f>
        <v/>
      </c>
      <c r="V210" s="42" t="str">
        <f>+IF($V$5=0,"",'4. '!U116)</f>
        <v/>
      </c>
      <c r="W210" s="42" t="str">
        <f>+IF($W$5=0,"",'4. '!V116)</f>
        <v/>
      </c>
      <c r="X210" s="42" t="str">
        <f>+IF($X$5=0,"",'4. '!W116)</f>
        <v/>
      </c>
      <c r="Y210" s="42" t="str">
        <f>+IF($Y$5=0,"",'4. '!X116)</f>
        <v/>
      </c>
      <c r="Z210" s="42" t="str">
        <f>+IF($Z$5=0,"",'4. '!Y116)</f>
        <v/>
      </c>
      <c r="AA210" s="42" t="str">
        <f>+IF($AA$5=0,"",'4. '!Z116)</f>
        <v/>
      </c>
      <c r="AB210" s="42" t="str">
        <f>+IF($AB$5=0,"",'4. '!AA116)</f>
        <v/>
      </c>
      <c r="AC210" s="42" t="str">
        <f>+IF($AC$5=0,"",'4. '!AB116)</f>
        <v/>
      </c>
      <c r="AD210" s="42" t="str">
        <f>+IF($AD$5=0,"",'4. '!AC116)</f>
        <v/>
      </c>
      <c r="AE210" s="42" t="str">
        <f>+IF($AE$5=0,"",'4. '!AD116)</f>
        <v/>
      </c>
      <c r="AF210" s="42" t="str">
        <f>+IF($AF$5=0,"",'4. '!AE116)</f>
        <v/>
      </c>
      <c r="AG210" s="50" t="e">
        <f t="shared" si="4"/>
        <v>#DIV/0!</v>
      </c>
      <c r="AH210" s="6"/>
      <c r="AI210"/>
      <c r="AJ210"/>
    </row>
    <row r="211" spans="1:36" s="1" customFormat="1" ht="15.75" thickBot="1" x14ac:dyDescent="0.3">
      <c r="A211"/>
      <c r="B211" s="10" t="s">
        <v>179</v>
      </c>
      <c r="C211" s="42" t="str">
        <f>+IF($C$5=0,"",'4. '!B121)</f>
        <v/>
      </c>
      <c r="D211" s="42" t="str">
        <f>+IF($D$5=0,"",'4. '!C121)</f>
        <v/>
      </c>
      <c r="E211" s="42" t="str">
        <f>+IF($E$5=0,"",'4. '!D121)</f>
        <v/>
      </c>
      <c r="F211" s="42" t="str">
        <f>+IF($F$5=0,"",'4. '!E121)</f>
        <v/>
      </c>
      <c r="G211" s="42" t="str">
        <f>+IF($G$5=0,"",'4. '!F121)</f>
        <v/>
      </c>
      <c r="H211" s="42" t="str">
        <f>+IF($H$5=0,"",'4. '!G121)</f>
        <v/>
      </c>
      <c r="I211" s="42" t="str">
        <f>+IF($I$5=0,"",'4. '!H121)</f>
        <v/>
      </c>
      <c r="J211" s="42" t="str">
        <f>+IF($J$5=0,"",'4. '!I121)</f>
        <v/>
      </c>
      <c r="K211" s="42" t="str">
        <f>+IF($K$5=0,"",'4. '!J121)</f>
        <v/>
      </c>
      <c r="L211" s="42" t="str">
        <f>+IF($L$5=0,"",'4. '!K121)</f>
        <v/>
      </c>
      <c r="M211" s="42" t="str">
        <f>+IF($M$5=0,"",'4. '!L121)</f>
        <v/>
      </c>
      <c r="N211" s="42" t="str">
        <f>+IF($N$5=0,"",'4. '!M121)</f>
        <v/>
      </c>
      <c r="O211" s="42" t="str">
        <f>+IF($O$5=0,"",'4. '!N121)</f>
        <v/>
      </c>
      <c r="P211" s="42" t="str">
        <f>+IF($P$5=0,"",'4. '!O121)</f>
        <v/>
      </c>
      <c r="Q211" s="42" t="str">
        <f>+IF($Q$5=0,"",'4. '!P121)</f>
        <v/>
      </c>
      <c r="R211" s="42" t="str">
        <f>+IF($R$5=0,"",'4. '!Q121)</f>
        <v/>
      </c>
      <c r="S211" s="42" t="str">
        <f>+IF($S$5=0,"",'4. '!R121)</f>
        <v/>
      </c>
      <c r="T211" s="42" t="str">
        <f>+IF($T$5=0,"",'4. '!S121)</f>
        <v/>
      </c>
      <c r="U211" s="42" t="str">
        <f>+IF($U$5=0,"",'4. '!T121)</f>
        <v/>
      </c>
      <c r="V211" s="42" t="str">
        <f>+IF($V$5=0,"",'4. '!U121)</f>
        <v/>
      </c>
      <c r="W211" s="42" t="str">
        <f>+IF($W$5=0,"",'4. '!V121)</f>
        <v/>
      </c>
      <c r="X211" s="42" t="str">
        <f>+IF($X$5=0,"",'4. '!W121)</f>
        <v/>
      </c>
      <c r="Y211" s="42" t="str">
        <f>+IF($Y$5=0,"",'4. '!X121)</f>
        <v/>
      </c>
      <c r="Z211" s="42" t="str">
        <f>+IF($Z$5=0,"",'4. '!Y121)</f>
        <v/>
      </c>
      <c r="AA211" s="42" t="str">
        <f>+IF($AA$5=0,"",'4. '!Z121)</f>
        <v/>
      </c>
      <c r="AB211" s="42" t="str">
        <f>+IF($AB$5=0,"",'4. '!AA121)</f>
        <v/>
      </c>
      <c r="AC211" s="42" t="str">
        <f>+IF($AC$5=0,"",'4. '!AB121)</f>
        <v/>
      </c>
      <c r="AD211" s="42" t="str">
        <f>+IF($AD$5=0,"",'4. '!AC121)</f>
        <v/>
      </c>
      <c r="AE211" s="42" t="str">
        <f>+IF($AE$5=0,"",'4. '!AD121)</f>
        <v/>
      </c>
      <c r="AF211" s="42" t="str">
        <f>+IF($AF$5=0,"",'4. '!AE121)</f>
        <v/>
      </c>
      <c r="AG211" s="50" t="e">
        <f t="shared" si="4"/>
        <v>#DIV/0!</v>
      </c>
      <c r="AH211" s="6"/>
      <c r="AI211"/>
      <c r="AJ211"/>
    </row>
    <row r="212" spans="1:36" s="1" customFormat="1" ht="15.75" thickBot="1" x14ac:dyDescent="0.3">
      <c r="A212"/>
      <c r="B212" s="11" t="s">
        <v>176</v>
      </c>
      <c r="C212" s="42" t="str">
        <f>+IF($C$5=0,"",'4. '!B118)</f>
        <v/>
      </c>
      <c r="D212" s="42" t="str">
        <f>+IF($D$5=0,"",'4. '!C118)</f>
        <v/>
      </c>
      <c r="E212" s="42" t="str">
        <f>+IF($E$5=0,"",'4. '!D118)</f>
        <v/>
      </c>
      <c r="F212" s="42" t="str">
        <f>+IF($F$5=0,"",'4. '!E118)</f>
        <v/>
      </c>
      <c r="G212" s="42" t="str">
        <f>+IF($G$5=0,"",'4. '!F118)</f>
        <v/>
      </c>
      <c r="H212" s="42" t="str">
        <f>+IF($H$5=0,"",'4. '!G118)</f>
        <v/>
      </c>
      <c r="I212" s="42" t="str">
        <f>+IF($I$5=0,"",'4. '!H118)</f>
        <v/>
      </c>
      <c r="J212" s="42" t="str">
        <f>+IF($J$5=0,"",'4. '!I118)</f>
        <v/>
      </c>
      <c r="K212" s="42" t="str">
        <f>+IF($K$5=0,"",'4. '!J118)</f>
        <v/>
      </c>
      <c r="L212" s="42" t="str">
        <f>+IF($L$5=0,"",'4. '!K118)</f>
        <v/>
      </c>
      <c r="M212" s="42" t="str">
        <f>+IF($M$5=0,"",'4. '!L118)</f>
        <v/>
      </c>
      <c r="N212" s="42" t="str">
        <f>+IF($N$5=0,"",'4. '!M118)</f>
        <v/>
      </c>
      <c r="O212" s="42" t="str">
        <f>+IF($O$5=0,"",'4. '!N118)</f>
        <v/>
      </c>
      <c r="P212" s="42" t="str">
        <f>+IF($P$5=0,"",'4. '!O118)</f>
        <v/>
      </c>
      <c r="Q212" s="42" t="str">
        <f>+IF($Q$5=0,"",'4. '!P118)</f>
        <v/>
      </c>
      <c r="R212" s="42" t="str">
        <f>+IF($R$5=0,"",'4. '!Q118)</f>
        <v/>
      </c>
      <c r="S212" s="42" t="str">
        <f>+IF($S$5=0,"",'4. '!R118)</f>
        <v/>
      </c>
      <c r="T212" s="42" t="str">
        <f>+IF($T$5=0,"",'4. '!S118)</f>
        <v/>
      </c>
      <c r="U212" s="42" t="str">
        <f>+IF($U$5=0,"",'4. '!T118)</f>
        <v/>
      </c>
      <c r="V212" s="42" t="str">
        <f>+IF($V$5=0,"",'4. '!U118)</f>
        <v/>
      </c>
      <c r="W212" s="42" t="str">
        <f>+IF($W$5=0,"",'4. '!V118)</f>
        <v/>
      </c>
      <c r="X212" s="42" t="str">
        <f>+IF($X$5=0,"",'4. '!W118)</f>
        <v/>
      </c>
      <c r="Y212" s="42" t="str">
        <f>+IF($Y$5=0,"",'4. '!X118)</f>
        <v/>
      </c>
      <c r="Z212" s="42" t="str">
        <f>+IF($Z$5=0,"",'4. '!Y118)</f>
        <v/>
      </c>
      <c r="AA212" s="42" t="str">
        <f>+IF($AA$5=0,"",'4. '!Z118)</f>
        <v/>
      </c>
      <c r="AB212" s="42" t="str">
        <f>+IF($AB$5=0,"",'4. '!AA118)</f>
        <v/>
      </c>
      <c r="AC212" s="42" t="str">
        <f>+IF($AC$5=0,"",'4. '!AB118)</f>
        <v/>
      </c>
      <c r="AD212" s="42" t="str">
        <f>+IF($AD$5=0,"",'4. '!AC118)</f>
        <v/>
      </c>
      <c r="AE212" s="42" t="str">
        <f>+IF($AE$5=0,"",'4. '!AD118)</f>
        <v/>
      </c>
      <c r="AF212" s="42" t="str">
        <f>+IF($AF$5=0,"",'4. '!AE118)</f>
        <v/>
      </c>
      <c r="AG212" s="50" t="e">
        <f t="shared" si="4"/>
        <v>#DIV/0!</v>
      </c>
      <c r="AH212" s="6"/>
      <c r="AI212"/>
      <c r="AJ212"/>
    </row>
    <row r="213" spans="1:36" s="1" customFormat="1" ht="15.75" thickBot="1" x14ac:dyDescent="0.3">
      <c r="A213"/>
      <c r="B213" s="10" t="s">
        <v>84</v>
      </c>
      <c r="C213" s="42" t="str">
        <f>+IF($C$5=0,"",'4. '!B38)</f>
        <v/>
      </c>
      <c r="D213" s="42" t="str">
        <f>+IF($D$5=0,"",'4. '!C38)</f>
        <v/>
      </c>
      <c r="E213" s="42" t="str">
        <f>+IF($E$5=0,"",'4. '!D38)</f>
        <v/>
      </c>
      <c r="F213" s="42" t="str">
        <f>+IF($F$5=0,"",'4. '!E38)</f>
        <v/>
      </c>
      <c r="G213" s="42" t="str">
        <f>+IF($G$5=0,"",'4. '!F38)</f>
        <v/>
      </c>
      <c r="H213" s="42" t="str">
        <f>+IF($H$5=0,"",'4. '!G38)</f>
        <v/>
      </c>
      <c r="I213" s="42" t="str">
        <f>+IF($I$5=0,"",'4. '!H38)</f>
        <v/>
      </c>
      <c r="J213" s="42" t="str">
        <f>+IF($J$5=0,"",'4. '!I38)</f>
        <v/>
      </c>
      <c r="K213" s="42" t="str">
        <f>+IF($K$5=0,"",'4. '!J38)</f>
        <v/>
      </c>
      <c r="L213" s="42" t="str">
        <f>+IF($L$5=0,"",'4. '!K38)</f>
        <v/>
      </c>
      <c r="M213" s="42" t="str">
        <f>+IF($M$5=0,"",'4. '!L38)</f>
        <v/>
      </c>
      <c r="N213" s="42" t="str">
        <f>+IF($N$5=0,"",'4. '!M38)</f>
        <v/>
      </c>
      <c r="O213" s="42" t="str">
        <f>+IF($O$5=0,"",'4. '!N38)</f>
        <v/>
      </c>
      <c r="P213" s="42" t="str">
        <f>+IF($P$5=0,"",'4. '!O38)</f>
        <v/>
      </c>
      <c r="Q213" s="42" t="str">
        <f>+IF($Q$5=0,"",'4. '!P38)</f>
        <v/>
      </c>
      <c r="R213" s="42" t="str">
        <f>+IF($R$5=0,"",'4. '!Q38)</f>
        <v/>
      </c>
      <c r="S213" s="42" t="str">
        <f>+IF($S$5=0,"",'4. '!R38)</f>
        <v/>
      </c>
      <c r="T213" s="42" t="str">
        <f>+IF($T$5=0,"",'4. '!S38)</f>
        <v/>
      </c>
      <c r="U213" s="42" t="str">
        <f>+IF($U$5=0,"",'4. '!T38)</f>
        <v/>
      </c>
      <c r="V213" s="42" t="str">
        <f>+IF($V$5=0,"",'4. '!U38)</f>
        <v/>
      </c>
      <c r="W213" s="42" t="str">
        <f>+IF($W$5=0,"",'4. '!V38)</f>
        <v/>
      </c>
      <c r="X213" s="42" t="str">
        <f>+IF($X$5=0,"",'4. '!W38)</f>
        <v/>
      </c>
      <c r="Y213" s="42" t="str">
        <f>+IF($Y$5=0,"",'4. '!X38)</f>
        <v/>
      </c>
      <c r="Z213" s="42" t="str">
        <f>+IF($Z$5=0,"",'4. '!Y38)</f>
        <v/>
      </c>
      <c r="AA213" s="42" t="str">
        <f>+IF($AA$5=0,"",'4. '!Z38)</f>
        <v/>
      </c>
      <c r="AB213" s="42" t="str">
        <f>+IF($AB$5=0,"",'4. '!AA38)</f>
        <v/>
      </c>
      <c r="AC213" s="42" t="str">
        <f>+IF($AC$5=0,"",'4. '!AB38)</f>
        <v/>
      </c>
      <c r="AD213" s="42" t="str">
        <f>+IF($AD$5=0,"",'4. '!AC38)</f>
        <v/>
      </c>
      <c r="AE213" s="42" t="str">
        <f>+IF($AE$5=0,"",'4. '!AD38)</f>
        <v/>
      </c>
      <c r="AF213" s="42" t="str">
        <f>+IF($AF$5=0,"",'4. '!AE38)</f>
        <v/>
      </c>
      <c r="AG213" s="50" t="e">
        <f t="shared" si="4"/>
        <v>#DIV/0!</v>
      </c>
      <c r="AH213" s="6"/>
      <c r="AI213"/>
      <c r="AJ213"/>
    </row>
    <row r="214" spans="1:36" s="1" customFormat="1" ht="15.75" thickBot="1" x14ac:dyDescent="0.3">
      <c r="A214"/>
      <c r="B214" s="11" t="s">
        <v>81</v>
      </c>
      <c r="C214" s="42" t="str">
        <f>+IF($C$5=0,"",'4. '!B35)</f>
        <v/>
      </c>
      <c r="D214" s="42" t="str">
        <f>+IF($D$5=0,"",'4. '!C35)</f>
        <v/>
      </c>
      <c r="E214" s="42" t="str">
        <f>+IF($E$5=0,"",'4. '!D35)</f>
        <v/>
      </c>
      <c r="F214" s="42" t="str">
        <f>+IF($F$5=0,"",'4. '!E35)</f>
        <v/>
      </c>
      <c r="G214" s="42" t="str">
        <f>+IF($G$5=0,"",'4. '!F35)</f>
        <v/>
      </c>
      <c r="H214" s="42" t="str">
        <f>+IF($H$5=0,"",'4. '!G35)</f>
        <v/>
      </c>
      <c r="I214" s="42" t="str">
        <f>+IF($I$5=0,"",'4. '!H35)</f>
        <v/>
      </c>
      <c r="J214" s="42" t="str">
        <f>+IF($J$5=0,"",'4. '!I35)</f>
        <v/>
      </c>
      <c r="K214" s="42" t="str">
        <f>+IF($K$5=0,"",'4. '!J35)</f>
        <v/>
      </c>
      <c r="L214" s="42" t="str">
        <f>+IF($L$5=0,"",'4. '!K35)</f>
        <v/>
      </c>
      <c r="M214" s="42" t="str">
        <f>+IF($M$5=0,"",'4. '!L35)</f>
        <v/>
      </c>
      <c r="N214" s="42" t="str">
        <f>+IF($N$5=0,"",'4. '!M35)</f>
        <v/>
      </c>
      <c r="O214" s="42" t="str">
        <f>+IF($O$5=0,"",'4. '!N35)</f>
        <v/>
      </c>
      <c r="P214" s="42" t="str">
        <f>+IF($P$5=0,"",'4. '!O35)</f>
        <v/>
      </c>
      <c r="Q214" s="42" t="str">
        <f>+IF($Q$5=0,"",'4. '!P35)</f>
        <v/>
      </c>
      <c r="R214" s="42" t="str">
        <f>+IF($R$5=0,"",'4. '!Q35)</f>
        <v/>
      </c>
      <c r="S214" s="42" t="str">
        <f>+IF($S$5=0,"",'4. '!R35)</f>
        <v/>
      </c>
      <c r="T214" s="42" t="str">
        <f>+IF($T$5=0,"",'4. '!S35)</f>
        <v/>
      </c>
      <c r="U214" s="42" t="str">
        <f>+IF($U$5=0,"",'4. '!T35)</f>
        <v/>
      </c>
      <c r="V214" s="42" t="str">
        <f>+IF($V$5=0,"",'4. '!U35)</f>
        <v/>
      </c>
      <c r="W214" s="42" t="str">
        <f>+IF($W$5=0,"",'4. '!V35)</f>
        <v/>
      </c>
      <c r="X214" s="42" t="str">
        <f>+IF($X$5=0,"",'4. '!W35)</f>
        <v/>
      </c>
      <c r="Y214" s="42" t="str">
        <f>+IF($Y$5=0,"",'4. '!X35)</f>
        <v/>
      </c>
      <c r="Z214" s="42" t="str">
        <f>+IF($Z$5=0,"",'4. '!Y35)</f>
        <v/>
      </c>
      <c r="AA214" s="42" t="str">
        <f>+IF($AA$5=0,"",'4. '!Z35)</f>
        <v/>
      </c>
      <c r="AB214" s="42" t="str">
        <f>+IF($AB$5=0,"",'4. '!AA35)</f>
        <v/>
      </c>
      <c r="AC214" s="42" t="str">
        <f>+IF($AC$5=0,"",'4. '!AB35)</f>
        <v/>
      </c>
      <c r="AD214" s="42" t="str">
        <f>+IF($AD$5=0,"",'4. '!AC35)</f>
        <v/>
      </c>
      <c r="AE214" s="42" t="str">
        <f>+IF($AE$5=0,"",'4. '!AD35)</f>
        <v/>
      </c>
      <c r="AF214" s="42" t="str">
        <f>+IF($AF$5=0,"",'4. '!AE35)</f>
        <v/>
      </c>
      <c r="AG214" s="50" t="e">
        <f t="shared" si="4"/>
        <v>#DIV/0!</v>
      </c>
      <c r="AH214" s="6"/>
      <c r="AI214"/>
      <c r="AJ214"/>
    </row>
    <row r="215" spans="1:36" s="1" customFormat="1" ht="15.75" thickBot="1" x14ac:dyDescent="0.3">
      <c r="A215"/>
      <c r="B215" s="10" t="s">
        <v>86</v>
      </c>
      <c r="C215" s="42" t="str">
        <f>+IF($C$5=0,"",'4. '!B40)</f>
        <v/>
      </c>
      <c r="D215" s="42" t="str">
        <f>+IF($D$5=0,"",'4. '!C40)</f>
        <v/>
      </c>
      <c r="E215" s="42" t="str">
        <f>+IF($E$5=0,"",'4. '!D40)</f>
        <v/>
      </c>
      <c r="F215" s="42" t="str">
        <f>+IF($F$5=0,"",'4. '!E40)</f>
        <v/>
      </c>
      <c r="G215" s="42" t="str">
        <f>+IF($G$5=0,"",'4. '!F40)</f>
        <v/>
      </c>
      <c r="H215" s="42" t="str">
        <f>+IF($H$5=0,"",'4. '!G40)</f>
        <v/>
      </c>
      <c r="I215" s="42" t="str">
        <f>+IF($I$5=0,"",'4. '!H40)</f>
        <v/>
      </c>
      <c r="J215" s="42" t="str">
        <f>+IF($J$5=0,"",'4. '!I40)</f>
        <v/>
      </c>
      <c r="K215" s="42" t="str">
        <f>+IF($K$5=0,"",'4. '!J40)</f>
        <v/>
      </c>
      <c r="L215" s="42" t="str">
        <f>+IF($L$5=0,"",'4. '!K40)</f>
        <v/>
      </c>
      <c r="M215" s="42" t="str">
        <f>+IF($M$5=0,"",'4. '!L40)</f>
        <v/>
      </c>
      <c r="N215" s="42" t="str">
        <f>+IF($N$5=0,"",'4. '!M40)</f>
        <v/>
      </c>
      <c r="O215" s="42" t="str">
        <f>+IF($O$5=0,"",'4. '!N40)</f>
        <v/>
      </c>
      <c r="P215" s="42" t="str">
        <f>+IF($P$5=0,"",'4. '!O40)</f>
        <v/>
      </c>
      <c r="Q215" s="42" t="str">
        <f>+IF($Q$5=0,"",'4. '!P40)</f>
        <v/>
      </c>
      <c r="R215" s="42" t="str">
        <f>+IF($R$5=0,"",'4. '!Q40)</f>
        <v/>
      </c>
      <c r="S215" s="42" t="str">
        <f>+IF($S$5=0,"",'4. '!R40)</f>
        <v/>
      </c>
      <c r="T215" s="42" t="str">
        <f>+IF($T$5=0,"",'4. '!S40)</f>
        <v/>
      </c>
      <c r="U215" s="42" t="str">
        <f>+IF($U$5=0,"",'4. '!T40)</f>
        <v/>
      </c>
      <c r="V215" s="42" t="str">
        <f>+IF($V$5=0,"",'4. '!U40)</f>
        <v/>
      </c>
      <c r="W215" s="42" t="str">
        <f>+IF($W$5=0,"",'4. '!V40)</f>
        <v/>
      </c>
      <c r="X215" s="42" t="str">
        <f>+IF($X$5=0,"",'4. '!W40)</f>
        <v/>
      </c>
      <c r="Y215" s="42" t="str">
        <f>+IF($Y$5=0,"",'4. '!X40)</f>
        <v/>
      </c>
      <c r="Z215" s="42" t="str">
        <f>+IF($Z$5=0,"",'4. '!Y40)</f>
        <v/>
      </c>
      <c r="AA215" s="42" t="str">
        <f>+IF($AA$5=0,"",'4. '!Z40)</f>
        <v/>
      </c>
      <c r="AB215" s="42" t="str">
        <f>+IF($AB$5=0,"",'4. '!AA40)</f>
        <v/>
      </c>
      <c r="AC215" s="42" t="str">
        <f>+IF($AC$5=0,"",'4. '!AB40)</f>
        <v/>
      </c>
      <c r="AD215" s="42" t="str">
        <f>+IF($AD$5=0,"",'4. '!AC40)</f>
        <v/>
      </c>
      <c r="AE215" s="42" t="str">
        <f>+IF($AE$5=0,"",'4. '!AD40)</f>
        <v/>
      </c>
      <c r="AF215" s="42" t="str">
        <f>+IF($AF$5=0,"",'4. '!AE40)</f>
        <v/>
      </c>
      <c r="AG215" s="50" t="e">
        <f t="shared" si="4"/>
        <v>#DIV/0!</v>
      </c>
      <c r="AH215" s="6"/>
      <c r="AI215"/>
      <c r="AJ215"/>
    </row>
    <row r="216" spans="1:36" s="1" customFormat="1" ht="15.75" thickBot="1" x14ac:dyDescent="0.3">
      <c r="A216"/>
      <c r="B216" s="11" t="s">
        <v>83</v>
      </c>
      <c r="C216" s="42" t="str">
        <f>+IF($C$5=0,"",'4. '!B37)</f>
        <v/>
      </c>
      <c r="D216" s="42" t="str">
        <f>+IF($D$5=0,"",'4. '!C37)</f>
        <v/>
      </c>
      <c r="E216" s="42" t="str">
        <f>+IF($E$5=0,"",'4. '!D37)</f>
        <v/>
      </c>
      <c r="F216" s="42" t="str">
        <f>+IF($F$5=0,"",'4. '!E37)</f>
        <v/>
      </c>
      <c r="G216" s="42" t="str">
        <f>+IF($G$5=0,"",'4. '!F37)</f>
        <v/>
      </c>
      <c r="H216" s="42" t="str">
        <f>+IF($H$5=0,"",'4. '!G37)</f>
        <v/>
      </c>
      <c r="I216" s="42" t="str">
        <f>+IF($I$5=0,"",'4. '!H37)</f>
        <v/>
      </c>
      <c r="J216" s="42" t="str">
        <f>+IF($J$5=0,"",'4. '!I37)</f>
        <v/>
      </c>
      <c r="K216" s="42" t="str">
        <f>+IF($K$5=0,"",'4. '!J37)</f>
        <v/>
      </c>
      <c r="L216" s="42" t="str">
        <f>+IF($L$5=0,"",'4. '!K37)</f>
        <v/>
      </c>
      <c r="M216" s="42" t="str">
        <f>+IF($M$5=0,"",'4. '!L37)</f>
        <v/>
      </c>
      <c r="N216" s="42" t="str">
        <f>+IF($N$5=0,"",'4. '!M37)</f>
        <v/>
      </c>
      <c r="O216" s="42" t="str">
        <f>+IF($O$5=0,"",'4. '!N37)</f>
        <v/>
      </c>
      <c r="P216" s="42" t="str">
        <f>+IF($P$5=0,"",'4. '!O37)</f>
        <v/>
      </c>
      <c r="Q216" s="42" t="str">
        <f>+IF($Q$5=0,"",'4. '!P37)</f>
        <v/>
      </c>
      <c r="R216" s="42" t="str">
        <f>+IF($R$5=0,"",'4. '!Q37)</f>
        <v/>
      </c>
      <c r="S216" s="42" t="str">
        <f>+IF($S$5=0,"",'4. '!R37)</f>
        <v/>
      </c>
      <c r="T216" s="42" t="str">
        <f>+IF($T$5=0,"",'4. '!S37)</f>
        <v/>
      </c>
      <c r="U216" s="42" t="str">
        <f>+IF($U$5=0,"",'4. '!T37)</f>
        <v/>
      </c>
      <c r="V216" s="42" t="str">
        <f>+IF($V$5=0,"",'4. '!U37)</f>
        <v/>
      </c>
      <c r="W216" s="42" t="str">
        <f>+IF($W$5=0,"",'4. '!V37)</f>
        <v/>
      </c>
      <c r="X216" s="42" t="str">
        <f>+IF($X$5=0,"",'4. '!W37)</f>
        <v/>
      </c>
      <c r="Y216" s="42" t="str">
        <f>+IF($Y$5=0,"",'4. '!X37)</f>
        <v/>
      </c>
      <c r="Z216" s="42" t="str">
        <f>+IF($Z$5=0,"",'4. '!Y37)</f>
        <v/>
      </c>
      <c r="AA216" s="42" t="str">
        <f>+IF($AA$5=0,"",'4. '!Z37)</f>
        <v/>
      </c>
      <c r="AB216" s="42" t="str">
        <f>+IF($AB$5=0,"",'4. '!AA37)</f>
        <v/>
      </c>
      <c r="AC216" s="42" t="str">
        <f>+IF($AC$5=0,"",'4. '!AB37)</f>
        <v/>
      </c>
      <c r="AD216" s="42" t="str">
        <f>+IF($AD$5=0,"",'4. '!AC37)</f>
        <v/>
      </c>
      <c r="AE216" s="42" t="str">
        <f>+IF($AE$5=0,"",'4. '!AD37)</f>
        <v/>
      </c>
      <c r="AF216" s="42" t="str">
        <f>+IF($AF$5=0,"",'4. '!AE37)</f>
        <v/>
      </c>
      <c r="AG216" s="50" t="e">
        <f t="shared" si="4"/>
        <v>#DIV/0!</v>
      </c>
      <c r="AH216" s="6"/>
      <c r="AI216"/>
      <c r="AJ216"/>
    </row>
    <row r="217" spans="1:36" s="1" customFormat="1" ht="15.75" thickBot="1" x14ac:dyDescent="0.3">
      <c r="A217"/>
      <c r="B217" s="10" t="s">
        <v>159</v>
      </c>
      <c r="C217" s="42" t="str">
        <f>+IF($C$5=0,"",'4. '!B101)</f>
        <v/>
      </c>
      <c r="D217" s="42" t="str">
        <f>+IF($D$5=0,"",'4. '!C101)</f>
        <v/>
      </c>
      <c r="E217" s="42" t="str">
        <f>+IF($E$5=0,"",'4. '!D101)</f>
        <v/>
      </c>
      <c r="F217" s="42" t="str">
        <f>+IF($F$5=0,"",'4. '!E101)</f>
        <v/>
      </c>
      <c r="G217" s="42" t="str">
        <f>+IF($G$5=0,"",'4. '!F101)</f>
        <v/>
      </c>
      <c r="H217" s="42" t="str">
        <f>+IF($H$5=0,"",'4. '!G101)</f>
        <v/>
      </c>
      <c r="I217" s="42" t="str">
        <f>+IF($I$5=0,"",'4. '!H101)</f>
        <v/>
      </c>
      <c r="J217" s="42" t="str">
        <f>+IF($J$5=0,"",'4. '!I101)</f>
        <v/>
      </c>
      <c r="K217" s="42" t="str">
        <f>+IF($K$5=0,"",'4. '!J101)</f>
        <v/>
      </c>
      <c r="L217" s="42" t="str">
        <f>+IF($L$5=0,"",'4. '!K101)</f>
        <v/>
      </c>
      <c r="M217" s="42" t="str">
        <f>+IF($M$5=0,"",'4. '!L101)</f>
        <v/>
      </c>
      <c r="N217" s="42" t="str">
        <f>+IF($N$5=0,"",'4. '!M101)</f>
        <v/>
      </c>
      <c r="O217" s="42" t="str">
        <f>+IF($O$5=0,"",'4. '!N101)</f>
        <v/>
      </c>
      <c r="P217" s="42" t="str">
        <f>+IF($P$5=0,"",'4. '!O101)</f>
        <v/>
      </c>
      <c r="Q217" s="42" t="str">
        <f>+IF($Q$5=0,"",'4. '!P101)</f>
        <v/>
      </c>
      <c r="R217" s="42" t="str">
        <f>+IF($R$5=0,"",'4. '!Q101)</f>
        <v/>
      </c>
      <c r="S217" s="42" t="str">
        <f>+IF($S$5=0,"",'4. '!R101)</f>
        <v/>
      </c>
      <c r="T217" s="42" t="str">
        <f>+IF($T$5=0,"",'4. '!S101)</f>
        <v/>
      </c>
      <c r="U217" s="42" t="str">
        <f>+IF($U$5=0,"",'4. '!T101)</f>
        <v/>
      </c>
      <c r="V217" s="42" t="str">
        <f>+IF($V$5=0,"",'4. '!U101)</f>
        <v/>
      </c>
      <c r="W217" s="42" t="str">
        <f>+IF($W$5=0,"",'4. '!V101)</f>
        <v/>
      </c>
      <c r="X217" s="42" t="str">
        <f>+IF($X$5=0,"",'4. '!W101)</f>
        <v/>
      </c>
      <c r="Y217" s="42" t="str">
        <f>+IF($Y$5=0,"",'4. '!X101)</f>
        <v/>
      </c>
      <c r="Z217" s="42" t="str">
        <f>+IF($Z$5=0,"",'4. '!Y101)</f>
        <v/>
      </c>
      <c r="AA217" s="42" t="str">
        <f>+IF($AA$5=0,"",'4. '!Z101)</f>
        <v/>
      </c>
      <c r="AB217" s="42" t="str">
        <f>+IF($AB$5=0,"",'4. '!AA101)</f>
        <v/>
      </c>
      <c r="AC217" s="42" t="str">
        <f>+IF($AC$5=0,"",'4. '!AB101)</f>
        <v/>
      </c>
      <c r="AD217" s="42" t="str">
        <f>+IF($AD$5=0,"",'4. '!AC101)</f>
        <v/>
      </c>
      <c r="AE217" s="42" t="str">
        <f>+IF($AE$5=0,"",'4. '!AD101)</f>
        <v/>
      </c>
      <c r="AF217" s="42" t="str">
        <f>+IF($AF$5=0,"",'4. '!AE101)</f>
        <v/>
      </c>
      <c r="AG217" s="50" t="e">
        <f t="shared" si="4"/>
        <v>#DIV/0!</v>
      </c>
      <c r="AH217" s="6"/>
      <c r="AI217"/>
      <c r="AJ217"/>
    </row>
    <row r="218" spans="1:36" s="1" customFormat="1" ht="15.75" thickBot="1" x14ac:dyDescent="0.3">
      <c r="A218"/>
      <c r="B218" s="11" t="s">
        <v>156</v>
      </c>
      <c r="C218" s="42" t="str">
        <f>+IF($C$5=0,"",'4. '!B98)</f>
        <v/>
      </c>
      <c r="D218" s="42" t="str">
        <f>+IF($D$5=0,"",'4. '!C98)</f>
        <v/>
      </c>
      <c r="E218" s="42" t="str">
        <f>+IF($E$5=0,"",'4. '!D98)</f>
        <v/>
      </c>
      <c r="F218" s="42" t="str">
        <f>+IF($F$5=0,"",'4. '!E98)</f>
        <v/>
      </c>
      <c r="G218" s="42" t="str">
        <f>+IF($G$5=0,"",'4. '!F98)</f>
        <v/>
      </c>
      <c r="H218" s="42" t="str">
        <f>+IF($H$5=0,"",'4. '!G98)</f>
        <v/>
      </c>
      <c r="I218" s="42" t="str">
        <f>+IF($I$5=0,"",'4. '!H98)</f>
        <v/>
      </c>
      <c r="J218" s="42" t="str">
        <f>+IF($J$5=0,"",'4. '!I98)</f>
        <v/>
      </c>
      <c r="K218" s="42" t="str">
        <f>+IF($K$5=0,"",'4. '!J98)</f>
        <v/>
      </c>
      <c r="L218" s="42" t="str">
        <f>+IF($L$5=0,"",'4. '!K98)</f>
        <v/>
      </c>
      <c r="M218" s="42" t="str">
        <f>+IF($M$5=0,"",'4. '!L98)</f>
        <v/>
      </c>
      <c r="N218" s="42" t="str">
        <f>+IF($N$5=0,"",'4. '!M98)</f>
        <v/>
      </c>
      <c r="O218" s="42" t="str">
        <f>+IF($O$5=0,"",'4. '!N98)</f>
        <v/>
      </c>
      <c r="P218" s="42" t="str">
        <f>+IF($P$5=0,"",'4. '!O98)</f>
        <v/>
      </c>
      <c r="Q218" s="42" t="str">
        <f>+IF($Q$5=0,"",'4. '!P98)</f>
        <v/>
      </c>
      <c r="R218" s="42" t="str">
        <f>+IF($R$5=0,"",'4. '!Q98)</f>
        <v/>
      </c>
      <c r="S218" s="42" t="str">
        <f>+IF($S$5=0,"",'4. '!R98)</f>
        <v/>
      </c>
      <c r="T218" s="42" t="str">
        <f>+IF($T$5=0,"",'4. '!S98)</f>
        <v/>
      </c>
      <c r="U218" s="42" t="str">
        <f>+IF($U$5=0,"",'4. '!T98)</f>
        <v/>
      </c>
      <c r="V218" s="42" t="str">
        <f>+IF($V$5=0,"",'4. '!U98)</f>
        <v/>
      </c>
      <c r="W218" s="42" t="str">
        <f>+IF($W$5=0,"",'4. '!V98)</f>
        <v/>
      </c>
      <c r="X218" s="42" t="str">
        <f>+IF($X$5=0,"",'4. '!W98)</f>
        <v/>
      </c>
      <c r="Y218" s="42" t="str">
        <f>+IF($Y$5=0,"",'4. '!X98)</f>
        <v/>
      </c>
      <c r="Z218" s="42" t="str">
        <f>+IF($Z$5=0,"",'4. '!Y98)</f>
        <v/>
      </c>
      <c r="AA218" s="42" t="str">
        <f>+IF($AA$5=0,"",'4. '!Z98)</f>
        <v/>
      </c>
      <c r="AB218" s="42" t="str">
        <f>+IF($AB$5=0,"",'4. '!AA98)</f>
        <v/>
      </c>
      <c r="AC218" s="42" t="str">
        <f>+IF($AC$5=0,"",'4. '!AB98)</f>
        <v/>
      </c>
      <c r="AD218" s="42" t="str">
        <f>+IF($AD$5=0,"",'4. '!AC98)</f>
        <v/>
      </c>
      <c r="AE218" s="42" t="str">
        <f>+IF($AE$5=0,"",'4. '!AD98)</f>
        <v/>
      </c>
      <c r="AF218" s="42" t="str">
        <f>+IF($AF$5=0,"",'4. '!AE98)</f>
        <v/>
      </c>
      <c r="AG218" s="50" t="e">
        <f t="shared" si="4"/>
        <v>#DIV/0!</v>
      </c>
      <c r="AH218" s="6"/>
      <c r="AI218"/>
      <c r="AJ218"/>
    </row>
    <row r="219" spans="1:36" s="1" customFormat="1" ht="15.75" thickBot="1" x14ac:dyDescent="0.3">
      <c r="A219"/>
      <c r="B219" s="10" t="s">
        <v>161</v>
      </c>
      <c r="C219" s="42" t="str">
        <f>+IF($C$5=0,"",'4. '!B103)</f>
        <v/>
      </c>
      <c r="D219" s="42" t="str">
        <f>+IF($D$5=0,"",'4. '!C103)</f>
        <v/>
      </c>
      <c r="E219" s="42" t="str">
        <f>+IF($E$5=0,"",'4. '!D103)</f>
        <v/>
      </c>
      <c r="F219" s="42" t="str">
        <f>+IF($F$5=0,"",'4. '!E103)</f>
        <v/>
      </c>
      <c r="G219" s="42" t="str">
        <f>+IF($G$5=0,"",'4. '!F103)</f>
        <v/>
      </c>
      <c r="H219" s="42" t="str">
        <f>+IF($H$5=0,"",'4. '!G103)</f>
        <v/>
      </c>
      <c r="I219" s="42" t="str">
        <f>+IF($I$5=0,"",'4. '!H103)</f>
        <v/>
      </c>
      <c r="J219" s="42" t="str">
        <f>+IF($J$5=0,"",'4. '!I103)</f>
        <v/>
      </c>
      <c r="K219" s="42" t="str">
        <f>+IF($K$5=0,"",'4. '!J103)</f>
        <v/>
      </c>
      <c r="L219" s="42" t="str">
        <f>+IF($L$5=0,"",'4. '!K103)</f>
        <v/>
      </c>
      <c r="M219" s="42" t="str">
        <f>+IF($M$5=0,"",'4. '!L103)</f>
        <v/>
      </c>
      <c r="N219" s="42" t="str">
        <f>+IF($N$5=0,"",'4. '!M103)</f>
        <v/>
      </c>
      <c r="O219" s="42" t="str">
        <f>+IF($O$5=0,"",'4. '!N103)</f>
        <v/>
      </c>
      <c r="P219" s="42" t="str">
        <f>+IF($P$5=0,"",'4. '!O103)</f>
        <v/>
      </c>
      <c r="Q219" s="42" t="str">
        <f>+IF($Q$5=0,"",'4. '!P103)</f>
        <v/>
      </c>
      <c r="R219" s="42" t="str">
        <f>+IF($R$5=0,"",'4. '!Q103)</f>
        <v/>
      </c>
      <c r="S219" s="42" t="str">
        <f>+IF($S$5=0,"",'4. '!R103)</f>
        <v/>
      </c>
      <c r="T219" s="42" t="str">
        <f>+IF($T$5=0,"",'4. '!S103)</f>
        <v/>
      </c>
      <c r="U219" s="42" t="str">
        <f>+IF($U$5=0,"",'4. '!T103)</f>
        <v/>
      </c>
      <c r="V219" s="42" t="str">
        <f>+IF($V$5=0,"",'4. '!U103)</f>
        <v/>
      </c>
      <c r="W219" s="42" t="str">
        <f>+IF($W$5=0,"",'4. '!V103)</f>
        <v/>
      </c>
      <c r="X219" s="42" t="str">
        <f>+IF($X$5=0,"",'4. '!W103)</f>
        <v/>
      </c>
      <c r="Y219" s="42" t="str">
        <f>+IF($Y$5=0,"",'4. '!X103)</f>
        <v/>
      </c>
      <c r="Z219" s="42" t="str">
        <f>+IF($Z$5=0,"",'4. '!Y103)</f>
        <v/>
      </c>
      <c r="AA219" s="42" t="str">
        <f>+IF($AA$5=0,"",'4. '!Z103)</f>
        <v/>
      </c>
      <c r="AB219" s="42" t="str">
        <f>+IF($AB$5=0,"",'4. '!AA103)</f>
        <v/>
      </c>
      <c r="AC219" s="42" t="str">
        <f>+IF($AC$5=0,"",'4. '!AB103)</f>
        <v/>
      </c>
      <c r="AD219" s="42" t="str">
        <f>+IF($AD$5=0,"",'4. '!AC103)</f>
        <v/>
      </c>
      <c r="AE219" s="42" t="str">
        <f>+IF($AE$5=0,"",'4. '!AD103)</f>
        <v/>
      </c>
      <c r="AF219" s="42" t="str">
        <f>+IF($AF$5=0,"",'4. '!AE103)</f>
        <v/>
      </c>
      <c r="AG219" s="50" t="e">
        <f t="shared" si="4"/>
        <v>#DIV/0!</v>
      </c>
      <c r="AH219" s="6"/>
      <c r="AI219"/>
      <c r="AJ219"/>
    </row>
    <row r="220" spans="1:36" s="1" customFormat="1" ht="15.75" thickBot="1" x14ac:dyDescent="0.3">
      <c r="A220"/>
      <c r="B220" s="11" t="s">
        <v>158</v>
      </c>
      <c r="C220" s="42" t="str">
        <f>+IF($C$5=0,"",'4. '!B100)</f>
        <v/>
      </c>
      <c r="D220" s="42" t="str">
        <f>+IF($D$5=0,"",'4. '!C100)</f>
        <v/>
      </c>
      <c r="E220" s="42" t="str">
        <f>+IF($E$5=0,"",'4. '!D100)</f>
        <v/>
      </c>
      <c r="F220" s="42" t="str">
        <f>+IF($F$5=0,"",'4. '!E100)</f>
        <v/>
      </c>
      <c r="G220" s="42" t="str">
        <f>+IF($G$5=0,"",'4. '!F100)</f>
        <v/>
      </c>
      <c r="H220" s="42" t="str">
        <f>+IF($H$5=0,"",'4. '!G100)</f>
        <v/>
      </c>
      <c r="I220" s="42" t="str">
        <f>+IF($I$5=0,"",'4. '!H100)</f>
        <v/>
      </c>
      <c r="J220" s="42" t="str">
        <f>+IF($J$5=0,"",'4. '!I100)</f>
        <v/>
      </c>
      <c r="K220" s="42" t="str">
        <f>+IF($K$5=0,"",'4. '!J100)</f>
        <v/>
      </c>
      <c r="L220" s="42" t="str">
        <f>+IF($L$5=0,"",'4. '!K100)</f>
        <v/>
      </c>
      <c r="M220" s="42" t="str">
        <f>+IF($M$5=0,"",'4. '!L100)</f>
        <v/>
      </c>
      <c r="N220" s="42" t="str">
        <f>+IF($N$5=0,"",'4. '!M100)</f>
        <v/>
      </c>
      <c r="O220" s="42" t="str">
        <f>+IF($O$5=0,"",'4. '!N100)</f>
        <v/>
      </c>
      <c r="P220" s="42" t="str">
        <f>+IF($P$5=0,"",'4. '!O100)</f>
        <v/>
      </c>
      <c r="Q220" s="42" t="str">
        <f>+IF($Q$5=0,"",'4. '!P100)</f>
        <v/>
      </c>
      <c r="R220" s="42" t="str">
        <f>+IF($R$5=0,"",'4. '!Q100)</f>
        <v/>
      </c>
      <c r="S220" s="42" t="str">
        <f>+IF($S$5=0,"",'4. '!R100)</f>
        <v/>
      </c>
      <c r="T220" s="42" t="str">
        <f>+IF($T$5=0,"",'4. '!S100)</f>
        <v/>
      </c>
      <c r="U220" s="42" t="str">
        <f>+IF($U$5=0,"",'4. '!T100)</f>
        <v/>
      </c>
      <c r="V220" s="42" t="str">
        <f>+IF($V$5=0,"",'4. '!U100)</f>
        <v/>
      </c>
      <c r="W220" s="42" t="str">
        <f>+IF($W$5=0,"",'4. '!V100)</f>
        <v/>
      </c>
      <c r="X220" s="42" t="str">
        <f>+IF($X$5=0,"",'4. '!W100)</f>
        <v/>
      </c>
      <c r="Y220" s="42" t="str">
        <f>+IF($Y$5=0,"",'4. '!X100)</f>
        <v/>
      </c>
      <c r="Z220" s="42" t="str">
        <f>+IF($Z$5=0,"",'4. '!Y100)</f>
        <v/>
      </c>
      <c r="AA220" s="42" t="str">
        <f>+IF($AA$5=0,"",'4. '!Z100)</f>
        <v/>
      </c>
      <c r="AB220" s="42" t="str">
        <f>+IF($AB$5=0,"",'4. '!AA100)</f>
        <v/>
      </c>
      <c r="AC220" s="42" t="str">
        <f>+IF($AC$5=0,"",'4. '!AB100)</f>
        <v/>
      </c>
      <c r="AD220" s="42" t="str">
        <f>+IF($AD$5=0,"",'4. '!AC100)</f>
        <v/>
      </c>
      <c r="AE220" s="42" t="str">
        <f>+IF($AE$5=0,"",'4. '!AD100)</f>
        <v/>
      </c>
      <c r="AF220" s="42" t="str">
        <f>+IF($AF$5=0,"",'4. '!AE100)</f>
        <v/>
      </c>
      <c r="AG220" s="50" t="e">
        <f t="shared" si="4"/>
        <v>#DIV/0!</v>
      </c>
      <c r="AH220" s="6"/>
      <c r="AI220"/>
      <c r="AJ220"/>
    </row>
    <row r="221" spans="1:36" s="1" customFormat="1" ht="15.75" thickBot="1" x14ac:dyDescent="0.3">
      <c r="A221"/>
      <c r="B221" s="10" t="s">
        <v>65</v>
      </c>
      <c r="C221" s="42" t="str">
        <f>+IF($C$5=0,"",'4. '!B20)</f>
        <v/>
      </c>
      <c r="D221" s="42" t="str">
        <f>+IF($D$5=0,"",'4. '!C20)</f>
        <v/>
      </c>
      <c r="E221" s="42" t="str">
        <f>+IF($E$5=0,"",'4. '!D20)</f>
        <v/>
      </c>
      <c r="F221" s="42" t="str">
        <f>+IF($F$5=0,"",'4. '!E20)</f>
        <v/>
      </c>
      <c r="G221" s="42" t="str">
        <f>+IF($G$5=0,"",'4. '!F20)</f>
        <v/>
      </c>
      <c r="H221" s="42" t="str">
        <f>+IF($H$5=0,"",'4. '!G20)</f>
        <v/>
      </c>
      <c r="I221" s="42" t="str">
        <f>+IF($I$5=0,"",'4. '!H20)</f>
        <v/>
      </c>
      <c r="J221" s="42" t="str">
        <f>+IF($J$5=0,"",'4. '!I20)</f>
        <v/>
      </c>
      <c r="K221" s="42" t="str">
        <f>+IF($K$5=0,"",'4. '!J20)</f>
        <v/>
      </c>
      <c r="L221" s="42" t="str">
        <f>+IF($L$5=0,"",'4. '!K20)</f>
        <v/>
      </c>
      <c r="M221" s="42" t="str">
        <f>+IF($M$5=0,"",'4. '!L20)</f>
        <v/>
      </c>
      <c r="N221" s="42" t="str">
        <f>+IF($N$5=0,"",'4. '!M20)</f>
        <v/>
      </c>
      <c r="O221" s="42" t="str">
        <f>+IF($O$5=0,"",'4. '!N20)</f>
        <v/>
      </c>
      <c r="P221" s="42" t="str">
        <f>+IF($P$5=0,"",'4. '!O20)</f>
        <v/>
      </c>
      <c r="Q221" s="42" t="str">
        <f>+IF($Q$5=0,"",'4. '!P20)</f>
        <v/>
      </c>
      <c r="R221" s="42" t="str">
        <f>+IF($R$5=0,"",'4. '!Q20)</f>
        <v/>
      </c>
      <c r="S221" s="42" t="str">
        <f>+IF($S$5=0,"",'4. '!R20)</f>
        <v/>
      </c>
      <c r="T221" s="42" t="str">
        <f>+IF($T$5=0,"",'4. '!S20)</f>
        <v/>
      </c>
      <c r="U221" s="42" t="str">
        <f>+IF($U$5=0,"",'4. '!T20)</f>
        <v/>
      </c>
      <c r="V221" s="42" t="str">
        <f>+IF($V$5=0,"",'4. '!U20)</f>
        <v/>
      </c>
      <c r="W221" s="42" t="str">
        <f>+IF($W$5=0,"",'4. '!V20)</f>
        <v/>
      </c>
      <c r="X221" s="42" t="str">
        <f>+IF($X$5=0,"",'4. '!W20)</f>
        <v/>
      </c>
      <c r="Y221" s="42" t="str">
        <f>+IF($Y$5=0,"",'4. '!X20)</f>
        <v/>
      </c>
      <c r="Z221" s="42" t="str">
        <f>+IF($Z$5=0,"",'4. '!Y20)</f>
        <v/>
      </c>
      <c r="AA221" s="42" t="str">
        <f>+IF($AA$5=0,"",'4. '!Z20)</f>
        <v/>
      </c>
      <c r="AB221" s="42" t="str">
        <f>+IF($AB$5=0,"",'4. '!AA20)</f>
        <v/>
      </c>
      <c r="AC221" s="42" t="str">
        <f>+IF($AC$5=0,"",'4. '!AB20)</f>
        <v/>
      </c>
      <c r="AD221" s="42" t="str">
        <f>+IF($AD$5=0,"",'4. '!AC20)</f>
        <v/>
      </c>
      <c r="AE221" s="42" t="str">
        <f>+IF($AE$5=0,"",'4. '!AD20)</f>
        <v/>
      </c>
      <c r="AF221" s="42" t="str">
        <f>+IF($AF$5=0,"",'4. '!AE20)</f>
        <v/>
      </c>
      <c r="AG221" s="50" t="e">
        <f t="shared" si="4"/>
        <v>#DIV/0!</v>
      </c>
      <c r="AH221" s="6"/>
      <c r="AI221"/>
      <c r="AJ221"/>
    </row>
    <row r="222" spans="1:36" s="1" customFormat="1" ht="15.75" thickBot="1" x14ac:dyDescent="0.3">
      <c r="A222"/>
      <c r="B222" s="11" t="s">
        <v>62</v>
      </c>
      <c r="C222" s="42" t="str">
        <f>+IF($C$5=0,"",'4. '!B17)</f>
        <v/>
      </c>
      <c r="D222" s="42" t="str">
        <f>+IF($D$5=0,"",'4. '!C17)</f>
        <v/>
      </c>
      <c r="E222" s="42" t="str">
        <f>+IF($E$5=0,"",'4. '!D17)</f>
        <v/>
      </c>
      <c r="F222" s="42" t="str">
        <f>+IF($F$5=0,"",'4. '!E17)</f>
        <v/>
      </c>
      <c r="G222" s="42" t="str">
        <f>+IF($G$5=0,"",'4. '!F17)</f>
        <v/>
      </c>
      <c r="H222" s="42" t="str">
        <f>+IF($H$5=0,"",'4. '!G17)</f>
        <v/>
      </c>
      <c r="I222" s="42" t="str">
        <f>+IF($I$5=0,"",'4. '!H17)</f>
        <v/>
      </c>
      <c r="J222" s="42" t="str">
        <f>+IF($J$5=0,"",'4. '!I17)</f>
        <v/>
      </c>
      <c r="K222" s="42" t="str">
        <f>+IF($K$5=0,"",'4. '!J17)</f>
        <v/>
      </c>
      <c r="L222" s="42" t="str">
        <f>+IF($L$5=0,"",'4. '!K17)</f>
        <v/>
      </c>
      <c r="M222" s="42" t="str">
        <f>+IF($M$5=0,"",'4. '!L17)</f>
        <v/>
      </c>
      <c r="N222" s="42" t="str">
        <f>+IF($N$5=0,"",'4. '!M17)</f>
        <v/>
      </c>
      <c r="O222" s="42" t="str">
        <f>+IF($O$5=0,"",'4. '!N17)</f>
        <v/>
      </c>
      <c r="P222" s="42" t="str">
        <f>+IF($P$5=0,"",'4. '!O17)</f>
        <v/>
      </c>
      <c r="Q222" s="42" t="str">
        <f>+IF($Q$5=0,"",'4. '!P17)</f>
        <v/>
      </c>
      <c r="R222" s="42" t="str">
        <f>+IF($R$5=0,"",'4. '!Q17)</f>
        <v/>
      </c>
      <c r="S222" s="42" t="str">
        <f>+IF($S$5=0,"",'4. '!R17)</f>
        <v/>
      </c>
      <c r="T222" s="42" t="str">
        <f>+IF($T$5=0,"",'4. '!S17)</f>
        <v/>
      </c>
      <c r="U222" s="42" t="str">
        <f>+IF($U$5=0,"",'4. '!T17)</f>
        <v/>
      </c>
      <c r="V222" s="42" t="str">
        <f>+IF($V$5=0,"",'4. '!U17)</f>
        <v/>
      </c>
      <c r="W222" s="42" t="str">
        <f>+IF($W$5=0,"",'4. '!V17)</f>
        <v/>
      </c>
      <c r="X222" s="42" t="str">
        <f>+IF($X$5=0,"",'4. '!W17)</f>
        <v/>
      </c>
      <c r="Y222" s="42" t="str">
        <f>+IF($Y$5=0,"",'4. '!X17)</f>
        <v/>
      </c>
      <c r="Z222" s="42" t="str">
        <f>+IF($Z$5=0,"",'4. '!Y17)</f>
        <v/>
      </c>
      <c r="AA222" s="42" t="str">
        <f>+IF($AA$5=0,"",'4. '!Z17)</f>
        <v/>
      </c>
      <c r="AB222" s="42" t="str">
        <f>+IF($AB$5=0,"",'4. '!AA17)</f>
        <v/>
      </c>
      <c r="AC222" s="42" t="str">
        <f>+IF($AC$5=0,"",'4. '!AB17)</f>
        <v/>
      </c>
      <c r="AD222" s="42" t="str">
        <f>+IF($AD$5=0,"",'4. '!AC17)</f>
        <v/>
      </c>
      <c r="AE222" s="42" t="str">
        <f>+IF($AE$5=0,"",'4. '!AD17)</f>
        <v/>
      </c>
      <c r="AF222" s="42" t="str">
        <f>+IF($AF$5=0,"",'4. '!AE17)</f>
        <v/>
      </c>
      <c r="AG222" s="50" t="e">
        <f t="shared" si="4"/>
        <v>#DIV/0!</v>
      </c>
      <c r="AH222" s="6"/>
      <c r="AI222"/>
      <c r="AJ222"/>
    </row>
    <row r="223" spans="1:36" s="1" customFormat="1" ht="15.75" thickBot="1" x14ac:dyDescent="0.3">
      <c r="A223"/>
      <c r="B223" s="10" t="s">
        <v>67</v>
      </c>
      <c r="C223" s="42" t="str">
        <f>+IF($C$5=0,"",'4. '!B22)</f>
        <v/>
      </c>
      <c r="D223" s="42" t="str">
        <f>+IF($D$5=0,"",'4. '!C22)</f>
        <v/>
      </c>
      <c r="E223" s="42" t="str">
        <f>+IF($E$5=0,"",'4. '!D22)</f>
        <v/>
      </c>
      <c r="F223" s="42" t="str">
        <f>+IF($F$5=0,"",'4. '!E22)</f>
        <v/>
      </c>
      <c r="G223" s="42" t="str">
        <f>+IF($G$5=0,"",'4. '!F22)</f>
        <v/>
      </c>
      <c r="H223" s="42" t="str">
        <f>+IF($H$5=0,"",'4. '!G22)</f>
        <v/>
      </c>
      <c r="I223" s="42" t="str">
        <f>+IF($I$5=0,"",'4. '!H22)</f>
        <v/>
      </c>
      <c r="J223" s="42" t="str">
        <f>+IF($J$5=0,"",'4. '!I22)</f>
        <v/>
      </c>
      <c r="K223" s="42" t="str">
        <f>+IF($K$5=0,"",'4. '!J22)</f>
        <v/>
      </c>
      <c r="L223" s="42" t="str">
        <f>+IF($L$5=0,"",'4. '!K22)</f>
        <v/>
      </c>
      <c r="M223" s="42" t="str">
        <f>+IF($M$5=0,"",'4. '!L22)</f>
        <v/>
      </c>
      <c r="N223" s="42" t="str">
        <f>+IF($N$5=0,"",'4. '!M22)</f>
        <v/>
      </c>
      <c r="O223" s="42" t="str">
        <f>+IF($O$5=0,"",'4. '!N22)</f>
        <v/>
      </c>
      <c r="P223" s="42" t="str">
        <f>+IF($P$5=0,"",'4. '!O22)</f>
        <v/>
      </c>
      <c r="Q223" s="42" t="str">
        <f>+IF($Q$5=0,"",'4. '!P22)</f>
        <v/>
      </c>
      <c r="R223" s="42" t="str">
        <f>+IF($R$5=0,"",'4. '!Q22)</f>
        <v/>
      </c>
      <c r="S223" s="42" t="str">
        <f>+IF($S$5=0,"",'4. '!R22)</f>
        <v/>
      </c>
      <c r="T223" s="42" t="str">
        <f>+IF($T$5=0,"",'4. '!S22)</f>
        <v/>
      </c>
      <c r="U223" s="42" t="str">
        <f>+IF($U$5=0,"",'4. '!T22)</f>
        <v/>
      </c>
      <c r="V223" s="42" t="str">
        <f>+IF($V$5=0,"",'4. '!U22)</f>
        <v/>
      </c>
      <c r="W223" s="42" t="str">
        <f>+IF($W$5=0,"",'4. '!V22)</f>
        <v/>
      </c>
      <c r="X223" s="42" t="str">
        <f>+IF($X$5=0,"",'4. '!W22)</f>
        <v/>
      </c>
      <c r="Y223" s="42" t="str">
        <f>+IF($Y$5=0,"",'4. '!X22)</f>
        <v/>
      </c>
      <c r="Z223" s="42" t="str">
        <f>+IF($Z$5=0,"",'4. '!Y22)</f>
        <v/>
      </c>
      <c r="AA223" s="42" t="str">
        <f>+IF($AA$5=0,"",'4. '!Z22)</f>
        <v/>
      </c>
      <c r="AB223" s="42" t="str">
        <f>+IF($AB$5=0,"",'4. '!AA22)</f>
        <v/>
      </c>
      <c r="AC223" s="42" t="str">
        <f>+IF($AC$5=0,"",'4. '!AB22)</f>
        <v/>
      </c>
      <c r="AD223" s="42" t="str">
        <f>+IF($AD$5=0,"",'4. '!AC22)</f>
        <v/>
      </c>
      <c r="AE223" s="42" t="str">
        <f>+IF($AE$5=0,"",'4. '!AD22)</f>
        <v/>
      </c>
      <c r="AF223" s="42" t="str">
        <f>+IF($AF$5=0,"",'4. '!AE22)</f>
        <v/>
      </c>
      <c r="AG223" s="50" t="e">
        <f t="shared" si="4"/>
        <v>#DIV/0!</v>
      </c>
      <c r="AH223" s="6"/>
      <c r="AI223"/>
      <c r="AJ223"/>
    </row>
    <row r="224" spans="1:36" s="1" customFormat="1" ht="15.75" thickBot="1" x14ac:dyDescent="0.3">
      <c r="A224"/>
      <c r="B224" s="11" t="s">
        <v>64</v>
      </c>
      <c r="C224" s="42" t="str">
        <f>+IF($C$5=0,"",'4. '!B19)</f>
        <v/>
      </c>
      <c r="D224" s="42" t="str">
        <f>+IF($D$5=0,"",'4. '!C19)</f>
        <v/>
      </c>
      <c r="E224" s="42" t="str">
        <f>+IF($E$5=0,"",'4. '!D19)</f>
        <v/>
      </c>
      <c r="F224" s="42" t="str">
        <f>+IF($F$5=0,"",'4. '!E19)</f>
        <v/>
      </c>
      <c r="G224" s="42" t="str">
        <f>+IF($G$5=0,"",'4. '!F19)</f>
        <v/>
      </c>
      <c r="H224" s="42" t="str">
        <f>+IF($H$5=0,"",'4. '!G19)</f>
        <v/>
      </c>
      <c r="I224" s="42" t="str">
        <f>+IF($I$5=0,"",'4. '!H19)</f>
        <v/>
      </c>
      <c r="J224" s="42" t="str">
        <f>+IF($J$5=0,"",'4. '!I19)</f>
        <v/>
      </c>
      <c r="K224" s="42" t="str">
        <f>+IF($K$5=0,"",'4. '!J19)</f>
        <v/>
      </c>
      <c r="L224" s="42" t="str">
        <f>+IF($L$5=0,"",'4. '!K19)</f>
        <v/>
      </c>
      <c r="M224" s="42" t="str">
        <f>+IF($M$5=0,"",'4. '!L19)</f>
        <v/>
      </c>
      <c r="N224" s="42" t="str">
        <f>+IF($N$5=0,"",'4. '!M19)</f>
        <v/>
      </c>
      <c r="O224" s="42" t="str">
        <f>+IF($O$5=0,"",'4. '!N19)</f>
        <v/>
      </c>
      <c r="P224" s="42" t="str">
        <f>+IF($P$5=0,"",'4. '!O19)</f>
        <v/>
      </c>
      <c r="Q224" s="42" t="str">
        <f>+IF($Q$5=0,"",'4. '!P19)</f>
        <v/>
      </c>
      <c r="R224" s="42" t="str">
        <f>+IF($R$5=0,"",'4. '!Q19)</f>
        <v/>
      </c>
      <c r="S224" s="42" t="str">
        <f>+IF($S$5=0,"",'4. '!R19)</f>
        <v/>
      </c>
      <c r="T224" s="42" t="str">
        <f>+IF($T$5=0,"",'4. '!S19)</f>
        <v/>
      </c>
      <c r="U224" s="42" t="str">
        <f>+IF($U$5=0,"",'4. '!T19)</f>
        <v/>
      </c>
      <c r="V224" s="42" t="str">
        <f>+IF($V$5=0,"",'4. '!U19)</f>
        <v/>
      </c>
      <c r="W224" s="42" t="str">
        <f>+IF($W$5=0,"",'4. '!V19)</f>
        <v/>
      </c>
      <c r="X224" s="42" t="str">
        <f>+IF($X$5=0,"",'4. '!W19)</f>
        <v/>
      </c>
      <c r="Y224" s="42" t="str">
        <f>+IF($Y$5=0,"",'4. '!X19)</f>
        <v/>
      </c>
      <c r="Z224" s="42" t="str">
        <f>+IF($Z$5=0,"",'4. '!Y19)</f>
        <v/>
      </c>
      <c r="AA224" s="42" t="str">
        <f>+IF($AA$5=0,"",'4. '!Z19)</f>
        <v/>
      </c>
      <c r="AB224" s="42" t="str">
        <f>+IF($AB$5=0,"",'4. '!AA19)</f>
        <v/>
      </c>
      <c r="AC224" s="42" t="str">
        <f>+IF($AC$5=0,"",'4. '!AB19)</f>
        <v/>
      </c>
      <c r="AD224" s="42" t="str">
        <f>+IF($AD$5=0,"",'4. '!AC19)</f>
        <v/>
      </c>
      <c r="AE224" s="42" t="str">
        <f>+IF($AE$5=0,"",'4. '!AD19)</f>
        <v/>
      </c>
      <c r="AF224" s="42" t="str">
        <f>+IF($AF$5=0,"",'4. '!AE19)</f>
        <v/>
      </c>
      <c r="AG224" s="50" t="e">
        <f t="shared" si="4"/>
        <v>#DIV/0!</v>
      </c>
      <c r="AH224" s="6"/>
      <c r="AI224"/>
      <c r="AJ224"/>
    </row>
    <row r="225" spans="1:36" s="1" customFormat="1" ht="15.75" thickBot="1" x14ac:dyDescent="0.3">
      <c r="A225"/>
      <c r="B225" s="10" t="s">
        <v>150</v>
      </c>
      <c r="C225" s="42" t="str">
        <f>+IF($C$5=0,"",'4. '!B92)</f>
        <v/>
      </c>
      <c r="D225" s="42" t="str">
        <f>+IF($D$5=0,"",'4. '!C92)</f>
        <v/>
      </c>
      <c r="E225" s="42" t="str">
        <f>+IF($E$5=0,"",'4. '!D92)</f>
        <v/>
      </c>
      <c r="F225" s="42" t="str">
        <f>+IF($F$5=0,"",'4. '!E92)</f>
        <v/>
      </c>
      <c r="G225" s="42" t="str">
        <f>+IF($G$5=0,"",'4. '!F92)</f>
        <v/>
      </c>
      <c r="H225" s="42" t="str">
        <f>+IF($H$5=0,"",'4. '!G92)</f>
        <v/>
      </c>
      <c r="I225" s="42" t="str">
        <f>+IF($I$5=0,"",'4. '!H92)</f>
        <v/>
      </c>
      <c r="J225" s="42" t="str">
        <f>+IF($J$5=0,"",'4. '!I92)</f>
        <v/>
      </c>
      <c r="K225" s="42" t="str">
        <f>+IF($K$5=0,"",'4. '!J92)</f>
        <v/>
      </c>
      <c r="L225" s="42" t="str">
        <f>+IF($L$5=0,"",'4. '!K92)</f>
        <v/>
      </c>
      <c r="M225" s="42" t="str">
        <f>+IF($M$5=0,"",'4. '!L92)</f>
        <v/>
      </c>
      <c r="N225" s="42" t="str">
        <f>+IF($N$5=0,"",'4. '!M92)</f>
        <v/>
      </c>
      <c r="O225" s="42" t="str">
        <f>+IF($O$5=0,"",'4. '!N92)</f>
        <v/>
      </c>
      <c r="P225" s="42" t="str">
        <f>+IF($P$5=0,"",'4. '!O92)</f>
        <v/>
      </c>
      <c r="Q225" s="42" t="str">
        <f>+IF($Q$5=0,"",'4. '!P92)</f>
        <v/>
      </c>
      <c r="R225" s="42" t="str">
        <f>+IF($R$5=0,"",'4. '!Q92)</f>
        <v/>
      </c>
      <c r="S225" s="42" t="str">
        <f>+IF($S$5=0,"",'4. '!R92)</f>
        <v/>
      </c>
      <c r="T225" s="42" t="str">
        <f>+IF($T$5=0,"",'4. '!S92)</f>
        <v/>
      </c>
      <c r="U225" s="42" t="str">
        <f>+IF($U$5=0,"",'4. '!T92)</f>
        <v/>
      </c>
      <c r="V225" s="42" t="str">
        <f>+IF($V$5=0,"",'4. '!U92)</f>
        <v/>
      </c>
      <c r="W225" s="42" t="str">
        <f>+IF($W$5=0,"",'4. '!V92)</f>
        <v/>
      </c>
      <c r="X225" s="42" t="str">
        <f>+IF($X$5=0,"",'4. '!W92)</f>
        <v/>
      </c>
      <c r="Y225" s="42" t="str">
        <f>+IF($Y$5=0,"",'4. '!X92)</f>
        <v/>
      </c>
      <c r="Z225" s="42" t="str">
        <f>+IF($Z$5=0,"",'4. '!Y92)</f>
        <v/>
      </c>
      <c r="AA225" s="42" t="str">
        <f>+IF($AA$5=0,"",'4. '!Z92)</f>
        <v/>
      </c>
      <c r="AB225" s="42" t="str">
        <f>+IF($AB$5=0,"",'4. '!AA92)</f>
        <v/>
      </c>
      <c r="AC225" s="42" t="str">
        <f>+IF($AC$5=0,"",'4. '!AB92)</f>
        <v/>
      </c>
      <c r="AD225" s="42" t="str">
        <f>+IF($AD$5=0,"",'4. '!AC92)</f>
        <v/>
      </c>
      <c r="AE225" s="42" t="str">
        <f>+IF($AE$5=0,"",'4. '!AD92)</f>
        <v/>
      </c>
      <c r="AF225" s="42" t="str">
        <f>+IF($AF$5=0,"",'4. '!AE92)</f>
        <v/>
      </c>
      <c r="AG225" s="50" t="e">
        <f t="shared" si="4"/>
        <v>#DIV/0!</v>
      </c>
      <c r="AH225" s="6"/>
      <c r="AI225"/>
      <c r="AJ225"/>
    </row>
    <row r="226" spans="1:36" s="1" customFormat="1" ht="15.75" thickBot="1" x14ac:dyDescent="0.3">
      <c r="A226"/>
      <c r="B226" s="11" t="s">
        <v>147</v>
      </c>
      <c r="C226" s="42" t="str">
        <f>+IF($C$5=0,"",'4. '!B89)</f>
        <v/>
      </c>
      <c r="D226" s="42" t="str">
        <f>+IF($D$5=0,"",'4. '!C89)</f>
        <v/>
      </c>
      <c r="E226" s="42" t="str">
        <f>+IF($E$5=0,"",'4. '!D89)</f>
        <v/>
      </c>
      <c r="F226" s="42" t="str">
        <f>+IF($F$5=0,"",'4. '!E89)</f>
        <v/>
      </c>
      <c r="G226" s="42" t="str">
        <f>+IF($G$5=0,"",'4. '!F89)</f>
        <v/>
      </c>
      <c r="H226" s="42" t="str">
        <f>+IF($H$5=0,"",'4. '!G89)</f>
        <v/>
      </c>
      <c r="I226" s="42" t="str">
        <f>+IF($I$5=0,"",'4. '!H89)</f>
        <v/>
      </c>
      <c r="J226" s="42" t="str">
        <f>+IF($J$5=0,"",'4. '!I89)</f>
        <v/>
      </c>
      <c r="K226" s="42" t="str">
        <f>+IF($K$5=0,"",'4. '!J89)</f>
        <v/>
      </c>
      <c r="L226" s="42" t="str">
        <f>+IF($L$5=0,"",'4. '!K89)</f>
        <v/>
      </c>
      <c r="M226" s="42" t="str">
        <f>+IF($M$5=0,"",'4. '!L89)</f>
        <v/>
      </c>
      <c r="N226" s="42" t="str">
        <f>+IF($N$5=0,"",'4. '!M89)</f>
        <v/>
      </c>
      <c r="O226" s="42" t="str">
        <f>+IF($O$5=0,"",'4. '!N89)</f>
        <v/>
      </c>
      <c r="P226" s="42" t="str">
        <f>+IF($P$5=0,"",'4. '!O89)</f>
        <v/>
      </c>
      <c r="Q226" s="42" t="str">
        <f>+IF($Q$5=0,"",'4. '!P89)</f>
        <v/>
      </c>
      <c r="R226" s="42" t="str">
        <f>+IF($R$5=0,"",'4. '!Q89)</f>
        <v/>
      </c>
      <c r="S226" s="42" t="str">
        <f>+IF($S$5=0,"",'4. '!R89)</f>
        <v/>
      </c>
      <c r="T226" s="42" t="str">
        <f>+IF($T$5=0,"",'4. '!S89)</f>
        <v/>
      </c>
      <c r="U226" s="42" t="str">
        <f>+IF($U$5=0,"",'4. '!T89)</f>
        <v/>
      </c>
      <c r="V226" s="42" t="str">
        <f>+IF($V$5=0,"",'4. '!U89)</f>
        <v/>
      </c>
      <c r="W226" s="42" t="str">
        <f>+IF($W$5=0,"",'4. '!V89)</f>
        <v/>
      </c>
      <c r="X226" s="42" t="str">
        <f>+IF($X$5=0,"",'4. '!W89)</f>
        <v/>
      </c>
      <c r="Y226" s="42" t="str">
        <f>+IF($Y$5=0,"",'4. '!X89)</f>
        <v/>
      </c>
      <c r="Z226" s="42" t="str">
        <f>+IF($Z$5=0,"",'4. '!Y89)</f>
        <v/>
      </c>
      <c r="AA226" s="42" t="str">
        <f>+IF($AA$5=0,"",'4. '!Z89)</f>
        <v/>
      </c>
      <c r="AB226" s="42" t="str">
        <f>+IF($AB$5=0,"",'4. '!AA89)</f>
        <v/>
      </c>
      <c r="AC226" s="42" t="str">
        <f>+IF($AC$5=0,"",'4. '!AB89)</f>
        <v/>
      </c>
      <c r="AD226" s="42" t="str">
        <f>+IF($AD$5=0,"",'4. '!AC89)</f>
        <v/>
      </c>
      <c r="AE226" s="42" t="str">
        <f>+IF($AE$5=0,"",'4. '!AD89)</f>
        <v/>
      </c>
      <c r="AF226" s="42" t="str">
        <f>+IF($AF$5=0,"",'4. '!AE89)</f>
        <v/>
      </c>
      <c r="AG226" s="50" t="e">
        <f t="shared" si="4"/>
        <v>#DIV/0!</v>
      </c>
      <c r="AH226" s="6"/>
      <c r="AI226"/>
      <c r="AJ226"/>
    </row>
    <row r="227" spans="1:36" s="1" customFormat="1" ht="15.75" thickBot="1" x14ac:dyDescent="0.3">
      <c r="A227"/>
      <c r="B227" s="10" t="s">
        <v>152</v>
      </c>
      <c r="C227" s="42" t="str">
        <f>+IF($C$5=0,"",'4. '!B94)</f>
        <v/>
      </c>
      <c r="D227" s="42" t="str">
        <f>+IF($D$5=0,"",'4. '!C94)</f>
        <v/>
      </c>
      <c r="E227" s="42" t="str">
        <f>+IF($E$5=0,"",'4. '!D94)</f>
        <v/>
      </c>
      <c r="F227" s="42" t="str">
        <f>+IF($F$5=0,"",'4. '!E94)</f>
        <v/>
      </c>
      <c r="G227" s="42" t="str">
        <f>+IF($G$5=0,"",'4. '!F94)</f>
        <v/>
      </c>
      <c r="H227" s="42" t="str">
        <f>+IF($H$5=0,"",'4. '!G94)</f>
        <v/>
      </c>
      <c r="I227" s="42" t="str">
        <f>+IF($I$5=0,"",'4. '!H94)</f>
        <v/>
      </c>
      <c r="J227" s="42" t="str">
        <f>+IF($J$5=0,"",'4. '!I94)</f>
        <v/>
      </c>
      <c r="K227" s="42" t="str">
        <f>+IF($K$5=0,"",'4. '!J94)</f>
        <v/>
      </c>
      <c r="L227" s="42" t="str">
        <f>+IF($L$5=0,"",'4. '!K94)</f>
        <v/>
      </c>
      <c r="M227" s="42" t="str">
        <f>+IF($M$5=0,"",'4. '!L94)</f>
        <v/>
      </c>
      <c r="N227" s="42" t="str">
        <f>+IF($N$5=0,"",'4. '!M94)</f>
        <v/>
      </c>
      <c r="O227" s="42" t="str">
        <f>+IF($O$5=0,"",'4. '!N94)</f>
        <v/>
      </c>
      <c r="P227" s="42" t="str">
        <f>+IF($P$5=0,"",'4. '!O94)</f>
        <v/>
      </c>
      <c r="Q227" s="42" t="str">
        <f>+IF($Q$5=0,"",'4. '!P94)</f>
        <v/>
      </c>
      <c r="R227" s="42" t="str">
        <f>+IF($R$5=0,"",'4. '!Q94)</f>
        <v/>
      </c>
      <c r="S227" s="42" t="str">
        <f>+IF($S$5=0,"",'4. '!R94)</f>
        <v/>
      </c>
      <c r="T227" s="42" t="str">
        <f>+IF($T$5=0,"",'4. '!S94)</f>
        <v/>
      </c>
      <c r="U227" s="42" t="str">
        <f>+IF($U$5=0,"",'4. '!T94)</f>
        <v/>
      </c>
      <c r="V227" s="42" t="str">
        <f>+IF($V$5=0,"",'4. '!U94)</f>
        <v/>
      </c>
      <c r="W227" s="42" t="str">
        <f>+IF($W$5=0,"",'4. '!V94)</f>
        <v/>
      </c>
      <c r="X227" s="42" t="str">
        <f>+IF($X$5=0,"",'4. '!W94)</f>
        <v/>
      </c>
      <c r="Y227" s="42" t="str">
        <f>+IF($Y$5=0,"",'4. '!X94)</f>
        <v/>
      </c>
      <c r="Z227" s="42" t="str">
        <f>+IF($Z$5=0,"",'4. '!Y94)</f>
        <v/>
      </c>
      <c r="AA227" s="42" t="str">
        <f>+IF($AA$5=0,"",'4. '!Z94)</f>
        <v/>
      </c>
      <c r="AB227" s="42" t="str">
        <f>+IF($AB$5=0,"",'4. '!AA94)</f>
        <v/>
      </c>
      <c r="AC227" s="42" t="str">
        <f>+IF($AC$5=0,"",'4. '!AB94)</f>
        <v/>
      </c>
      <c r="AD227" s="42" t="str">
        <f>+IF($AD$5=0,"",'4. '!AC94)</f>
        <v/>
      </c>
      <c r="AE227" s="42" t="str">
        <f>+IF($AE$5=0,"",'4. '!AD94)</f>
        <v/>
      </c>
      <c r="AF227" s="42" t="str">
        <f>+IF($AF$5=0,"",'4. '!AE94)</f>
        <v/>
      </c>
      <c r="AG227" s="50" t="e">
        <f t="shared" si="4"/>
        <v>#DIV/0!</v>
      </c>
      <c r="AH227" s="6"/>
      <c r="AI227"/>
      <c r="AJ227"/>
    </row>
    <row r="228" spans="1:36" s="1" customFormat="1" ht="15.75" thickBot="1" x14ac:dyDescent="0.3">
      <c r="A228"/>
      <c r="B228" s="11" t="s">
        <v>149</v>
      </c>
      <c r="C228" s="42" t="str">
        <f>+IF($C$5=0,"",'4. '!B91)</f>
        <v/>
      </c>
      <c r="D228" s="42" t="str">
        <f>+IF($D$5=0,"",'4. '!C91)</f>
        <v/>
      </c>
      <c r="E228" s="42" t="str">
        <f>+IF($E$5=0,"",'4. '!D91)</f>
        <v/>
      </c>
      <c r="F228" s="42" t="str">
        <f>+IF($F$5=0,"",'4. '!E91)</f>
        <v/>
      </c>
      <c r="G228" s="42" t="str">
        <f>+IF($G$5=0,"",'4. '!F91)</f>
        <v/>
      </c>
      <c r="H228" s="42" t="str">
        <f>+IF($H$5=0,"",'4. '!G91)</f>
        <v/>
      </c>
      <c r="I228" s="42" t="str">
        <f>+IF($I$5=0,"",'4. '!H91)</f>
        <v/>
      </c>
      <c r="J228" s="42" t="str">
        <f>+IF($J$5=0,"",'4. '!I91)</f>
        <v/>
      </c>
      <c r="K228" s="42" t="str">
        <f>+IF($K$5=0,"",'4. '!J91)</f>
        <v/>
      </c>
      <c r="L228" s="42" t="str">
        <f>+IF($L$5=0,"",'4. '!K91)</f>
        <v/>
      </c>
      <c r="M228" s="42" t="str">
        <f>+IF($M$5=0,"",'4. '!L91)</f>
        <v/>
      </c>
      <c r="N228" s="42" t="str">
        <f>+IF($N$5=0,"",'4. '!M91)</f>
        <v/>
      </c>
      <c r="O228" s="42" t="str">
        <f>+IF($O$5=0,"",'4. '!N91)</f>
        <v/>
      </c>
      <c r="P228" s="42" t="str">
        <f>+IF($P$5=0,"",'4. '!O91)</f>
        <v/>
      </c>
      <c r="Q228" s="42" t="str">
        <f>+IF($Q$5=0,"",'4. '!P91)</f>
        <v/>
      </c>
      <c r="R228" s="42" t="str">
        <f>+IF($R$5=0,"",'4. '!Q91)</f>
        <v/>
      </c>
      <c r="S228" s="42" t="str">
        <f>+IF($S$5=0,"",'4. '!R91)</f>
        <v/>
      </c>
      <c r="T228" s="42" t="str">
        <f>+IF($T$5=0,"",'4. '!S91)</f>
        <v/>
      </c>
      <c r="U228" s="42" t="str">
        <f>+IF($U$5=0,"",'4. '!T91)</f>
        <v/>
      </c>
      <c r="V228" s="42" t="str">
        <f>+IF($V$5=0,"",'4. '!U91)</f>
        <v/>
      </c>
      <c r="W228" s="42" t="str">
        <f>+IF($W$5=0,"",'4. '!V91)</f>
        <v/>
      </c>
      <c r="X228" s="42" t="str">
        <f>+IF($X$5=0,"",'4. '!W91)</f>
        <v/>
      </c>
      <c r="Y228" s="42" t="str">
        <f>+IF($Y$5=0,"",'4. '!X91)</f>
        <v/>
      </c>
      <c r="Z228" s="42" t="str">
        <f>+IF($Z$5=0,"",'4. '!Y91)</f>
        <v/>
      </c>
      <c r="AA228" s="42" t="str">
        <f>+IF($AA$5=0,"",'4. '!Z91)</f>
        <v/>
      </c>
      <c r="AB228" s="42" t="str">
        <f>+IF($AB$5=0,"",'4. '!AA91)</f>
        <v/>
      </c>
      <c r="AC228" s="42" t="str">
        <f>+IF($AC$5=0,"",'4. '!AB91)</f>
        <v/>
      </c>
      <c r="AD228" s="42" t="str">
        <f>+IF($AD$5=0,"",'4. '!AC91)</f>
        <v/>
      </c>
      <c r="AE228" s="42" t="str">
        <f>+IF($AE$5=0,"",'4. '!AD91)</f>
        <v/>
      </c>
      <c r="AF228" s="42" t="str">
        <f>+IF($AF$5=0,"",'4. '!AE91)</f>
        <v/>
      </c>
      <c r="AG228" s="50" t="e">
        <f t="shared" si="4"/>
        <v>#DIV/0!</v>
      </c>
      <c r="AH228" s="6"/>
      <c r="AI228"/>
      <c r="AJ228"/>
    </row>
    <row r="229" spans="1:36" s="1" customFormat="1" ht="15.75" thickBot="1" x14ac:dyDescent="0.3">
      <c r="A229"/>
      <c r="B229" s="10" t="s">
        <v>56</v>
      </c>
      <c r="C229" s="42" t="str">
        <f>+IF($C$5=0,"",'4. '!B11)</f>
        <v/>
      </c>
      <c r="D229" s="42" t="str">
        <f>+IF($D$5=0,"",'4. '!C11)</f>
        <v/>
      </c>
      <c r="E229" s="42" t="str">
        <f>+IF($E$5=0,"",'4. '!D11)</f>
        <v/>
      </c>
      <c r="F229" s="42" t="str">
        <f>+IF($F$5=0,"",'4. '!E11)</f>
        <v/>
      </c>
      <c r="G229" s="42" t="str">
        <f>+IF($G$5=0,"",'4. '!F11)</f>
        <v/>
      </c>
      <c r="H229" s="42" t="str">
        <f>+IF($H$5=0,"",'4. '!G11)</f>
        <v/>
      </c>
      <c r="I229" s="42" t="str">
        <f>+IF($I$5=0,"",'4. '!H11)</f>
        <v/>
      </c>
      <c r="J229" s="42" t="str">
        <f>+IF($J$5=0,"",'4. '!I11)</f>
        <v/>
      </c>
      <c r="K229" s="42" t="str">
        <f>+IF($K$5=0,"",'4. '!J11)</f>
        <v/>
      </c>
      <c r="L229" s="42" t="str">
        <f>+IF($L$5=0,"",'4. '!K11)</f>
        <v/>
      </c>
      <c r="M229" s="42" t="str">
        <f>+IF($M$5=0,"",'4. '!L11)</f>
        <v/>
      </c>
      <c r="N229" s="42" t="str">
        <f>+IF($N$5=0,"",'4. '!M11)</f>
        <v/>
      </c>
      <c r="O229" s="42" t="str">
        <f>+IF($O$5=0,"",'4. '!N11)</f>
        <v/>
      </c>
      <c r="P229" s="42" t="str">
        <f>+IF($P$5=0,"",'4. '!O11)</f>
        <v/>
      </c>
      <c r="Q229" s="42" t="str">
        <f>+IF($Q$5=0,"",'4. '!P11)</f>
        <v/>
      </c>
      <c r="R229" s="42" t="str">
        <f>+IF($R$5=0,"",'4. '!Q11)</f>
        <v/>
      </c>
      <c r="S229" s="42" t="str">
        <f>+IF($S$5=0,"",'4. '!R11)</f>
        <v/>
      </c>
      <c r="T229" s="42" t="str">
        <f>+IF($T$5=0,"",'4. '!S11)</f>
        <v/>
      </c>
      <c r="U229" s="42" t="str">
        <f>+IF($U$5=0,"",'4. '!T11)</f>
        <v/>
      </c>
      <c r="V229" s="42" t="str">
        <f>+IF($V$5=0,"",'4. '!U11)</f>
        <v/>
      </c>
      <c r="W229" s="42" t="str">
        <f>+IF($W$5=0,"",'4. '!V11)</f>
        <v/>
      </c>
      <c r="X229" s="42" t="str">
        <f>+IF($X$5=0,"",'4. '!W11)</f>
        <v/>
      </c>
      <c r="Y229" s="42" t="str">
        <f>+IF($Y$5=0,"",'4. '!X11)</f>
        <v/>
      </c>
      <c r="Z229" s="42" t="str">
        <f>+IF($Z$5=0,"",'4. '!Y11)</f>
        <v/>
      </c>
      <c r="AA229" s="42" t="str">
        <f>+IF($AA$5=0,"",'4. '!Z11)</f>
        <v/>
      </c>
      <c r="AB229" s="42" t="str">
        <f>+IF($AB$5=0,"",'4. '!AA11)</f>
        <v/>
      </c>
      <c r="AC229" s="42" t="str">
        <f>+IF($AC$5=0,"",'4. '!AB11)</f>
        <v/>
      </c>
      <c r="AD229" s="42" t="str">
        <f>+IF($AD$5=0,"",'4. '!AC11)</f>
        <v/>
      </c>
      <c r="AE229" s="42" t="str">
        <f>+IF($AE$5=0,"",'4. '!AD11)</f>
        <v/>
      </c>
      <c r="AF229" s="42" t="str">
        <f>+IF($AF$5=0,"",'4. '!AE11)</f>
        <v/>
      </c>
      <c r="AG229" s="50" t="e">
        <f t="shared" si="4"/>
        <v>#DIV/0!</v>
      </c>
      <c r="AH229" s="6"/>
      <c r="AI229"/>
      <c r="AJ229"/>
    </row>
    <row r="230" spans="1:36" s="1" customFormat="1" ht="15.75" thickBot="1" x14ac:dyDescent="0.3">
      <c r="A230"/>
      <c r="B230" s="11" t="s">
        <v>53</v>
      </c>
      <c r="C230" s="42" t="str">
        <f>+IF($C$5=0,"",'4. '!B8)</f>
        <v/>
      </c>
      <c r="D230" s="42" t="str">
        <f>+IF($D$5=0,"",'4. '!C8)</f>
        <v/>
      </c>
      <c r="E230" s="42" t="str">
        <f>+IF($E$5=0,"",'4. '!D8)</f>
        <v/>
      </c>
      <c r="F230" s="42" t="str">
        <f>+IF($F$5=0,"",'4. '!E8)</f>
        <v/>
      </c>
      <c r="G230" s="42" t="str">
        <f>+IF($G$5=0,"",'4. '!F8)</f>
        <v/>
      </c>
      <c r="H230" s="42" t="str">
        <f>+IF($H$5=0,"",'4. '!G8)</f>
        <v/>
      </c>
      <c r="I230" s="42" t="str">
        <f>+IF($I$5=0,"",'4. '!H8)</f>
        <v/>
      </c>
      <c r="J230" s="42" t="str">
        <f>+IF($J$5=0,"",'4. '!I8)</f>
        <v/>
      </c>
      <c r="K230" s="42" t="str">
        <f>+IF($K$5=0,"",'4. '!J8)</f>
        <v/>
      </c>
      <c r="L230" s="42" t="str">
        <f>+IF($L$5=0,"",'4. '!K8)</f>
        <v/>
      </c>
      <c r="M230" s="42" t="str">
        <f>+IF($M$5=0,"",'4. '!L8)</f>
        <v/>
      </c>
      <c r="N230" s="42" t="str">
        <f>+IF($N$5=0,"",'4. '!M8)</f>
        <v/>
      </c>
      <c r="O230" s="42" t="str">
        <f>+IF($O$5=0,"",'4. '!N8)</f>
        <v/>
      </c>
      <c r="P230" s="42" t="str">
        <f>+IF($P$5=0,"",'4. '!O8)</f>
        <v/>
      </c>
      <c r="Q230" s="42" t="str">
        <f>+IF($Q$5=0,"",'4. '!P8)</f>
        <v/>
      </c>
      <c r="R230" s="42" t="str">
        <f>+IF($R$5=0,"",'4. '!Q8)</f>
        <v/>
      </c>
      <c r="S230" s="42" t="str">
        <f>+IF($S$5=0,"",'4. '!R8)</f>
        <v/>
      </c>
      <c r="T230" s="42" t="str">
        <f>+IF($T$5=0,"",'4. '!S8)</f>
        <v/>
      </c>
      <c r="U230" s="42" t="str">
        <f>+IF($U$5=0,"",'4. '!T8)</f>
        <v/>
      </c>
      <c r="V230" s="42" t="str">
        <f>+IF($V$5=0,"",'4. '!U8)</f>
        <v/>
      </c>
      <c r="W230" s="42" t="str">
        <f>+IF($W$5=0,"",'4. '!V8)</f>
        <v/>
      </c>
      <c r="X230" s="42" t="str">
        <f>+IF($X$5=0,"",'4. '!W8)</f>
        <v/>
      </c>
      <c r="Y230" s="42" t="str">
        <f>+IF($Y$5=0,"",'4. '!X8)</f>
        <v/>
      </c>
      <c r="Z230" s="42" t="str">
        <f>+IF($Z$5=0,"",'4. '!Y8)</f>
        <v/>
      </c>
      <c r="AA230" s="42" t="str">
        <f>+IF($AA$5=0,"",'4. '!Z8)</f>
        <v/>
      </c>
      <c r="AB230" s="42" t="str">
        <f>+IF($AB$5=0,"",'4. '!AA8)</f>
        <v/>
      </c>
      <c r="AC230" s="42" t="str">
        <f>+IF($AC$5=0,"",'4. '!AB8)</f>
        <v/>
      </c>
      <c r="AD230" s="42" t="str">
        <f>+IF($AD$5=0,"",'4. '!AC8)</f>
        <v/>
      </c>
      <c r="AE230" s="42" t="str">
        <f>+IF($AE$5=0,"",'4. '!AD8)</f>
        <v/>
      </c>
      <c r="AF230" s="42" t="str">
        <f>+IF($AF$5=0,"",'4. '!AE8)</f>
        <v/>
      </c>
      <c r="AG230" s="50" t="e">
        <f t="shared" si="4"/>
        <v>#DIV/0!</v>
      </c>
      <c r="AH230" s="6"/>
      <c r="AI230"/>
      <c r="AJ230"/>
    </row>
    <row r="231" spans="1:36" s="1" customFormat="1" ht="15.75" thickBot="1" x14ac:dyDescent="0.3">
      <c r="A231"/>
      <c r="B231" s="10" t="s">
        <v>58</v>
      </c>
      <c r="C231" s="42" t="str">
        <f>+IF($C$5=0,"",'4. '!B13)</f>
        <v/>
      </c>
      <c r="D231" s="42" t="str">
        <f>+IF($D$5=0,"",'4. '!C13)</f>
        <v/>
      </c>
      <c r="E231" s="42" t="str">
        <f>+IF($E$5=0,"",'4. '!D13)</f>
        <v/>
      </c>
      <c r="F231" s="42" t="str">
        <f>+IF($F$5=0,"",'4. '!E13)</f>
        <v/>
      </c>
      <c r="G231" s="42" t="str">
        <f>+IF($G$5=0,"",'4. '!F13)</f>
        <v/>
      </c>
      <c r="H231" s="42" t="str">
        <f>+IF($H$5=0,"",'4. '!G13)</f>
        <v/>
      </c>
      <c r="I231" s="42" t="str">
        <f>+IF($I$5=0,"",'4. '!H13)</f>
        <v/>
      </c>
      <c r="J231" s="42" t="str">
        <f>+IF($J$5=0,"",'4. '!I13)</f>
        <v/>
      </c>
      <c r="K231" s="42" t="str">
        <f>+IF($K$5=0,"",'4. '!J13)</f>
        <v/>
      </c>
      <c r="L231" s="42" t="str">
        <f>+IF($L$5=0,"",'4. '!K13)</f>
        <v/>
      </c>
      <c r="M231" s="42" t="str">
        <f>+IF($M$5=0,"",'4. '!L13)</f>
        <v/>
      </c>
      <c r="N231" s="42" t="str">
        <f>+IF($N$5=0,"",'4. '!M13)</f>
        <v/>
      </c>
      <c r="O231" s="42" t="str">
        <f>+IF($O$5=0,"",'4. '!N13)</f>
        <v/>
      </c>
      <c r="P231" s="42" t="str">
        <f>+IF($P$5=0,"",'4. '!O13)</f>
        <v/>
      </c>
      <c r="Q231" s="42" t="str">
        <f>+IF($Q$5=0,"",'4. '!P13)</f>
        <v/>
      </c>
      <c r="R231" s="42" t="str">
        <f>+IF($R$5=0,"",'4. '!Q13)</f>
        <v/>
      </c>
      <c r="S231" s="42" t="str">
        <f>+IF($S$5=0,"",'4. '!R13)</f>
        <v/>
      </c>
      <c r="T231" s="42" t="str">
        <f>+IF($T$5=0,"",'4. '!S13)</f>
        <v/>
      </c>
      <c r="U231" s="42" t="str">
        <f>+IF($U$5=0,"",'4. '!T13)</f>
        <v/>
      </c>
      <c r="V231" s="42" t="str">
        <f>+IF($V$5=0,"",'4. '!U13)</f>
        <v/>
      </c>
      <c r="W231" s="42" t="str">
        <f>+IF($W$5=0,"",'4. '!V13)</f>
        <v/>
      </c>
      <c r="X231" s="42" t="str">
        <f>+IF($X$5=0,"",'4. '!W13)</f>
        <v/>
      </c>
      <c r="Y231" s="42" t="str">
        <f>+IF($Y$5=0,"",'4. '!X13)</f>
        <v/>
      </c>
      <c r="Z231" s="42" t="str">
        <f>+IF($Z$5=0,"",'4. '!Y13)</f>
        <v/>
      </c>
      <c r="AA231" s="42" t="str">
        <f>+IF($AA$5=0,"",'4. '!Z13)</f>
        <v/>
      </c>
      <c r="AB231" s="42" t="str">
        <f>+IF($AB$5=0,"",'4. '!AA13)</f>
        <v/>
      </c>
      <c r="AC231" s="42" t="str">
        <f>+IF($AC$5=0,"",'4. '!AB13)</f>
        <v/>
      </c>
      <c r="AD231" s="42" t="str">
        <f>+IF($AD$5=0,"",'4. '!AC13)</f>
        <v/>
      </c>
      <c r="AE231" s="42" t="str">
        <f>+IF($AE$5=0,"",'4. '!AD13)</f>
        <v/>
      </c>
      <c r="AF231" s="42" t="str">
        <f>+IF($AF$5=0,"",'4. '!AE13)</f>
        <v/>
      </c>
      <c r="AG231" s="50" t="e">
        <f t="shared" si="4"/>
        <v>#DIV/0!</v>
      </c>
      <c r="AH231" s="6"/>
      <c r="AI231"/>
      <c r="AJ231"/>
    </row>
    <row r="232" spans="1:36" s="1" customFormat="1" ht="15.75" thickBot="1" x14ac:dyDescent="0.3">
      <c r="A232"/>
      <c r="B232" s="11" t="s">
        <v>55</v>
      </c>
      <c r="C232" s="42" t="str">
        <f>+IF($C$5=0,"",'4. '!B10)</f>
        <v/>
      </c>
      <c r="D232" s="42" t="str">
        <f>+IF($D$5=0,"",'4. '!C10)</f>
        <v/>
      </c>
      <c r="E232" s="42" t="str">
        <f>+IF($E$5=0,"",'4. '!D10)</f>
        <v/>
      </c>
      <c r="F232" s="42" t="str">
        <f>+IF($F$5=0,"",'4. '!E10)</f>
        <v/>
      </c>
      <c r="G232" s="42" t="str">
        <f>+IF($G$5=0,"",'4. '!F10)</f>
        <v/>
      </c>
      <c r="H232" s="42" t="str">
        <f>+IF($H$5=0,"",'4. '!G10)</f>
        <v/>
      </c>
      <c r="I232" s="42" t="str">
        <f>+IF($I$5=0,"",'4. '!H10)</f>
        <v/>
      </c>
      <c r="J232" s="42" t="str">
        <f>+IF($J$5=0,"",'4. '!I10)</f>
        <v/>
      </c>
      <c r="K232" s="42" t="str">
        <f>+IF($K$5=0,"",'4. '!J10)</f>
        <v/>
      </c>
      <c r="L232" s="42" t="str">
        <f>+IF($L$5=0,"",'4. '!K10)</f>
        <v/>
      </c>
      <c r="M232" s="42" t="str">
        <f>+IF($M$5=0,"",'4. '!L10)</f>
        <v/>
      </c>
      <c r="N232" s="42" t="str">
        <f>+IF($N$5=0,"",'4. '!M10)</f>
        <v/>
      </c>
      <c r="O232" s="42" t="str">
        <f>+IF($O$5=0,"",'4. '!N10)</f>
        <v/>
      </c>
      <c r="P232" s="42" t="str">
        <f>+IF($P$5=0,"",'4. '!O10)</f>
        <v/>
      </c>
      <c r="Q232" s="42" t="str">
        <f>+IF($Q$5=0,"",'4. '!P10)</f>
        <v/>
      </c>
      <c r="R232" s="42" t="str">
        <f>+IF($R$5=0,"",'4. '!Q10)</f>
        <v/>
      </c>
      <c r="S232" s="42" t="str">
        <f>+IF($S$5=0,"",'4. '!R10)</f>
        <v/>
      </c>
      <c r="T232" s="42" t="str">
        <f>+IF($T$5=0,"",'4. '!S10)</f>
        <v/>
      </c>
      <c r="U232" s="42" t="str">
        <f>+IF($U$5=0,"",'4. '!T10)</f>
        <v/>
      </c>
      <c r="V232" s="42" t="str">
        <f>+IF($V$5=0,"",'4. '!U10)</f>
        <v/>
      </c>
      <c r="W232" s="42" t="str">
        <f>+IF($W$5=0,"",'4. '!V10)</f>
        <v/>
      </c>
      <c r="X232" s="42" t="str">
        <f>+IF($X$5=0,"",'4. '!W10)</f>
        <v/>
      </c>
      <c r="Y232" s="42" t="str">
        <f>+IF($Y$5=0,"",'4. '!X10)</f>
        <v/>
      </c>
      <c r="Z232" s="42" t="str">
        <f>+IF($Z$5=0,"",'4. '!Y10)</f>
        <v/>
      </c>
      <c r="AA232" s="42" t="str">
        <f>+IF($AA$5=0,"",'4. '!Z10)</f>
        <v/>
      </c>
      <c r="AB232" s="42" t="str">
        <f>+IF($AB$5=0,"",'4. '!AA10)</f>
        <v/>
      </c>
      <c r="AC232" s="42" t="str">
        <f>+IF($AC$5=0,"",'4. '!AB10)</f>
        <v/>
      </c>
      <c r="AD232" s="42" t="str">
        <f>+IF($AD$5=0,"",'4. '!AC10)</f>
        <v/>
      </c>
      <c r="AE232" s="42" t="str">
        <f>+IF($AE$5=0,"",'4. '!AD10)</f>
        <v/>
      </c>
      <c r="AF232" s="42" t="str">
        <f>+IF($AF$5=0,"",'4. '!AE10)</f>
        <v/>
      </c>
      <c r="AG232" s="50" t="e">
        <f t="shared" si="4"/>
        <v>#DIV/0!</v>
      </c>
      <c r="AH232" s="6"/>
      <c r="AI232"/>
      <c r="AJ232"/>
    </row>
    <row r="233" spans="1:36" s="1" customFormat="1" ht="15.75" thickBot="1" x14ac:dyDescent="0.3">
      <c r="A233"/>
      <c r="B233" s="10" t="s">
        <v>195</v>
      </c>
      <c r="C233" s="42" t="str">
        <f>+IF($C$5=0,"",'4. '!B137)</f>
        <v/>
      </c>
      <c r="D233" s="42" t="str">
        <f>+IF($D$5=0,"",'4. '!C137)</f>
        <v/>
      </c>
      <c r="E233" s="42" t="str">
        <f>+IF($E$5=0,"",'4. '!D137)</f>
        <v/>
      </c>
      <c r="F233" s="42" t="str">
        <f>+IF($F$5=0,"",'4. '!E137)</f>
        <v/>
      </c>
      <c r="G233" s="42" t="str">
        <f>+IF($G$5=0,"",'4. '!F137)</f>
        <v/>
      </c>
      <c r="H233" s="42" t="str">
        <f>+IF($H$5=0,"",'4. '!G137)</f>
        <v/>
      </c>
      <c r="I233" s="42" t="str">
        <f>+IF($I$5=0,"",'4. '!H137)</f>
        <v/>
      </c>
      <c r="J233" s="42" t="str">
        <f>+IF($J$5=0,"",'4. '!I137)</f>
        <v/>
      </c>
      <c r="K233" s="42" t="str">
        <f>+IF($K$5=0,"",'4. '!J137)</f>
        <v/>
      </c>
      <c r="L233" s="42" t="str">
        <f>+IF($L$5=0,"",'4. '!K137)</f>
        <v/>
      </c>
      <c r="M233" s="42" t="str">
        <f>+IF($M$5=0,"",'4. '!L137)</f>
        <v/>
      </c>
      <c r="N233" s="42" t="str">
        <f>+IF($N$5=0,"",'4. '!M137)</f>
        <v/>
      </c>
      <c r="O233" s="42" t="str">
        <f>+IF($O$5=0,"",'4. '!N137)</f>
        <v/>
      </c>
      <c r="P233" s="42" t="str">
        <f>+IF($P$5=0,"",'4. '!O137)</f>
        <v/>
      </c>
      <c r="Q233" s="42" t="str">
        <f>+IF($Q$5=0,"",'4. '!P137)</f>
        <v/>
      </c>
      <c r="R233" s="42" t="str">
        <f>+IF($R$5=0,"",'4. '!Q137)</f>
        <v/>
      </c>
      <c r="S233" s="42" t="str">
        <f>+IF($S$5=0,"",'4. '!R137)</f>
        <v/>
      </c>
      <c r="T233" s="42" t="str">
        <f>+IF($T$5=0,"",'4. '!S137)</f>
        <v/>
      </c>
      <c r="U233" s="42" t="str">
        <f>+IF($U$5=0,"",'4. '!T137)</f>
        <v/>
      </c>
      <c r="V233" s="42" t="str">
        <f>+IF($V$5=0,"",'4. '!U137)</f>
        <v/>
      </c>
      <c r="W233" s="42" t="str">
        <f>+IF($W$5=0,"",'4. '!V137)</f>
        <v/>
      </c>
      <c r="X233" s="42" t="str">
        <f>+IF($X$5=0,"",'4. '!W137)</f>
        <v/>
      </c>
      <c r="Y233" s="42" t="str">
        <f>+IF($Y$5=0,"",'4. '!X137)</f>
        <v/>
      </c>
      <c r="Z233" s="42" t="str">
        <f>+IF($Z$5=0,"",'4. '!Y137)</f>
        <v/>
      </c>
      <c r="AA233" s="42" t="str">
        <f>+IF($AA$5=0,"",'4. '!Z137)</f>
        <v/>
      </c>
      <c r="AB233" s="42" t="str">
        <f>+IF($AB$5=0,"",'4. '!AA137)</f>
        <v/>
      </c>
      <c r="AC233" s="42" t="str">
        <f>+IF($AC$5=0,"",'4. '!AB137)</f>
        <v/>
      </c>
      <c r="AD233" s="42" t="str">
        <f>+IF($AD$5=0,"",'4. '!AC137)</f>
        <v/>
      </c>
      <c r="AE233" s="42" t="str">
        <f>+IF($AE$5=0,"",'4. '!AD137)</f>
        <v/>
      </c>
      <c r="AF233" s="42" t="str">
        <f>+IF($AF$5=0,"",'4. '!AE137)</f>
        <v/>
      </c>
      <c r="AG233" s="50" t="e">
        <f t="shared" si="4"/>
        <v>#DIV/0!</v>
      </c>
      <c r="AH233" s="6"/>
      <c r="AI233"/>
      <c r="AJ233"/>
    </row>
    <row r="234" spans="1:36" s="1" customFormat="1" ht="15.75" thickBot="1" x14ac:dyDescent="0.3">
      <c r="A234"/>
      <c r="B234" s="11" t="s">
        <v>192</v>
      </c>
      <c r="C234" s="42" t="str">
        <f>+IF($C$5=0,"",'4. '!B134)</f>
        <v/>
      </c>
      <c r="D234" s="42" t="str">
        <f>+IF($D$5=0,"",'4. '!C134)</f>
        <v/>
      </c>
      <c r="E234" s="42" t="str">
        <f>+IF($E$5=0,"",'4. '!D134)</f>
        <v/>
      </c>
      <c r="F234" s="42" t="str">
        <f>+IF($F$5=0,"",'4. '!E134)</f>
        <v/>
      </c>
      <c r="G234" s="42" t="str">
        <f>+IF($G$5=0,"",'4. '!F134)</f>
        <v/>
      </c>
      <c r="H234" s="42" t="str">
        <f>+IF($H$5=0,"",'4. '!G134)</f>
        <v/>
      </c>
      <c r="I234" s="42" t="str">
        <f>+IF($I$5=0,"",'4. '!H134)</f>
        <v/>
      </c>
      <c r="J234" s="42" t="str">
        <f>+IF($J$5=0,"",'4. '!I134)</f>
        <v/>
      </c>
      <c r="K234" s="42" t="str">
        <f>+IF($K$5=0,"",'4. '!J134)</f>
        <v/>
      </c>
      <c r="L234" s="42" t="str">
        <f>+IF($L$5=0,"",'4. '!K134)</f>
        <v/>
      </c>
      <c r="M234" s="42" t="str">
        <f>+IF($M$5=0,"",'4. '!L134)</f>
        <v/>
      </c>
      <c r="N234" s="42" t="str">
        <f>+IF($N$5=0,"",'4. '!M134)</f>
        <v/>
      </c>
      <c r="O234" s="42" t="str">
        <f>+IF($O$5=0,"",'4. '!N134)</f>
        <v/>
      </c>
      <c r="P234" s="42" t="str">
        <f>+IF($P$5=0,"",'4. '!O134)</f>
        <v/>
      </c>
      <c r="Q234" s="42" t="str">
        <f>+IF($Q$5=0,"",'4. '!P134)</f>
        <v/>
      </c>
      <c r="R234" s="42" t="str">
        <f>+IF($R$5=0,"",'4. '!Q134)</f>
        <v/>
      </c>
      <c r="S234" s="42" t="str">
        <f>+IF($S$5=0,"",'4. '!R134)</f>
        <v/>
      </c>
      <c r="T234" s="42" t="str">
        <f>+IF($T$5=0,"",'4. '!S134)</f>
        <v/>
      </c>
      <c r="U234" s="42" t="str">
        <f>+IF($U$5=0,"",'4. '!T134)</f>
        <v/>
      </c>
      <c r="V234" s="42" t="str">
        <f>+IF($V$5=0,"",'4. '!U134)</f>
        <v/>
      </c>
      <c r="W234" s="42" t="str">
        <f>+IF($W$5=0,"",'4. '!V134)</f>
        <v/>
      </c>
      <c r="X234" s="42" t="str">
        <f>+IF($X$5=0,"",'4. '!W134)</f>
        <v/>
      </c>
      <c r="Y234" s="42" t="str">
        <f>+IF($Y$5=0,"",'4. '!X134)</f>
        <v/>
      </c>
      <c r="Z234" s="42" t="str">
        <f>+IF($Z$5=0,"",'4. '!Y134)</f>
        <v/>
      </c>
      <c r="AA234" s="42" t="str">
        <f>+IF($AA$5=0,"",'4. '!Z134)</f>
        <v/>
      </c>
      <c r="AB234" s="42" t="str">
        <f>+IF($AB$5=0,"",'4. '!AA134)</f>
        <v/>
      </c>
      <c r="AC234" s="42" t="str">
        <f>+IF($AC$5=0,"",'4. '!AB134)</f>
        <v/>
      </c>
      <c r="AD234" s="42" t="str">
        <f>+IF($AD$5=0,"",'4. '!AC134)</f>
        <v/>
      </c>
      <c r="AE234" s="42" t="str">
        <f>+IF($AE$5=0,"",'4. '!AD134)</f>
        <v/>
      </c>
      <c r="AF234" s="42" t="str">
        <f>+IF($AF$5=0,"",'4. '!AE134)</f>
        <v/>
      </c>
      <c r="AG234" s="50" t="e">
        <f t="shared" si="4"/>
        <v>#DIV/0!</v>
      </c>
      <c r="AH234" s="6"/>
      <c r="AI234"/>
      <c r="AJ234"/>
    </row>
    <row r="235" spans="1:36" s="1" customFormat="1" ht="15.75" thickBot="1" x14ac:dyDescent="0.3">
      <c r="A235"/>
      <c r="B235" s="10" t="s">
        <v>197</v>
      </c>
      <c r="C235" s="42" t="str">
        <f>+IF($C$5=0,"",'4. '!B139)</f>
        <v/>
      </c>
      <c r="D235" s="42" t="str">
        <f>+IF($D$5=0,"",'4. '!C139)</f>
        <v/>
      </c>
      <c r="E235" s="42" t="str">
        <f>+IF($E$5=0,"",'4. '!D139)</f>
        <v/>
      </c>
      <c r="F235" s="42" t="str">
        <f>+IF($F$5=0,"",'4. '!E139)</f>
        <v/>
      </c>
      <c r="G235" s="42" t="str">
        <f>+IF($G$5=0,"",'4. '!F139)</f>
        <v/>
      </c>
      <c r="H235" s="42" t="str">
        <f>+IF($H$5=0,"",'4. '!G139)</f>
        <v/>
      </c>
      <c r="I235" s="42" t="str">
        <f>+IF($I$5=0,"",'4. '!H139)</f>
        <v/>
      </c>
      <c r="J235" s="42" t="str">
        <f>+IF($J$5=0,"",'4. '!I139)</f>
        <v/>
      </c>
      <c r="K235" s="42" t="str">
        <f>+IF($K$5=0,"",'4. '!J139)</f>
        <v/>
      </c>
      <c r="L235" s="42" t="str">
        <f>+IF($L$5=0,"",'4. '!K139)</f>
        <v/>
      </c>
      <c r="M235" s="42" t="str">
        <f>+IF($M$5=0,"",'4. '!L139)</f>
        <v/>
      </c>
      <c r="N235" s="42" t="str">
        <f>+IF($N$5=0,"",'4. '!M139)</f>
        <v/>
      </c>
      <c r="O235" s="42" t="str">
        <f>+IF($O$5=0,"",'4. '!N139)</f>
        <v/>
      </c>
      <c r="P235" s="42" t="str">
        <f>+IF($P$5=0,"",'4. '!O139)</f>
        <v/>
      </c>
      <c r="Q235" s="42" t="str">
        <f>+IF($Q$5=0,"",'4. '!P139)</f>
        <v/>
      </c>
      <c r="R235" s="42" t="str">
        <f>+IF($R$5=0,"",'4. '!Q139)</f>
        <v/>
      </c>
      <c r="S235" s="42" t="str">
        <f>+IF($S$5=0,"",'4. '!R139)</f>
        <v/>
      </c>
      <c r="T235" s="42" t="str">
        <f>+IF($T$5=0,"",'4. '!S139)</f>
        <v/>
      </c>
      <c r="U235" s="42" t="str">
        <f>+IF($U$5=0,"",'4. '!T139)</f>
        <v/>
      </c>
      <c r="V235" s="42" t="str">
        <f>+IF($V$5=0,"",'4. '!U139)</f>
        <v/>
      </c>
      <c r="W235" s="42" t="str">
        <f>+IF($W$5=0,"",'4. '!V139)</f>
        <v/>
      </c>
      <c r="X235" s="42" t="str">
        <f>+IF($X$5=0,"",'4. '!W139)</f>
        <v/>
      </c>
      <c r="Y235" s="42" t="str">
        <f>+IF($Y$5=0,"",'4. '!X139)</f>
        <v/>
      </c>
      <c r="Z235" s="42" t="str">
        <f>+IF($Z$5=0,"",'4. '!Y139)</f>
        <v/>
      </c>
      <c r="AA235" s="42" t="str">
        <f>+IF($AA$5=0,"",'4. '!Z139)</f>
        <v/>
      </c>
      <c r="AB235" s="42" t="str">
        <f>+IF($AB$5=0,"",'4. '!AA139)</f>
        <v/>
      </c>
      <c r="AC235" s="42" t="str">
        <f>+IF($AC$5=0,"",'4. '!AB139)</f>
        <v/>
      </c>
      <c r="AD235" s="42" t="str">
        <f>+IF($AD$5=0,"",'4. '!AC139)</f>
        <v/>
      </c>
      <c r="AE235" s="42" t="str">
        <f>+IF($AE$5=0,"",'4. '!AD139)</f>
        <v/>
      </c>
      <c r="AF235" s="42" t="str">
        <f>+IF($AF$5=0,"",'4. '!AE139)</f>
        <v/>
      </c>
      <c r="AG235" s="50" t="e">
        <f t="shared" si="4"/>
        <v>#DIV/0!</v>
      </c>
      <c r="AH235" s="6"/>
      <c r="AI235"/>
      <c r="AJ235"/>
    </row>
    <row r="236" spans="1:36" s="1" customFormat="1" ht="15.75" thickBot="1" x14ac:dyDescent="0.3">
      <c r="A236"/>
      <c r="B236" s="11" t="s">
        <v>194</v>
      </c>
      <c r="C236" s="42" t="str">
        <f>+IF($C$5=0,"",'4. '!B136)</f>
        <v/>
      </c>
      <c r="D236" s="42" t="str">
        <f>+IF($D$5=0,"",'4. '!C136)</f>
        <v/>
      </c>
      <c r="E236" s="42" t="str">
        <f>+IF($E$5=0,"",'4. '!D136)</f>
        <v/>
      </c>
      <c r="F236" s="42" t="str">
        <f>+IF($F$5=0,"",'4. '!E136)</f>
        <v/>
      </c>
      <c r="G236" s="42" t="str">
        <f>+IF($G$5=0,"",'4. '!F136)</f>
        <v/>
      </c>
      <c r="H236" s="42" t="str">
        <f>+IF($H$5=0,"",'4. '!G136)</f>
        <v/>
      </c>
      <c r="I236" s="42" t="str">
        <f>+IF($I$5=0,"",'4. '!H136)</f>
        <v/>
      </c>
      <c r="J236" s="42" t="str">
        <f>+IF($J$5=0,"",'4. '!I136)</f>
        <v/>
      </c>
      <c r="K236" s="42" t="str">
        <f>+IF($K$5=0,"",'4. '!J136)</f>
        <v/>
      </c>
      <c r="L236" s="42" t="str">
        <f>+IF($L$5=0,"",'4. '!K136)</f>
        <v/>
      </c>
      <c r="M236" s="42" t="str">
        <f>+IF($M$5=0,"",'4. '!L136)</f>
        <v/>
      </c>
      <c r="N236" s="42" t="str">
        <f>+IF($N$5=0,"",'4. '!M136)</f>
        <v/>
      </c>
      <c r="O236" s="42" t="str">
        <f>+IF($O$5=0,"",'4. '!N136)</f>
        <v/>
      </c>
      <c r="P236" s="42" t="str">
        <f>+IF($P$5=0,"",'4. '!O136)</f>
        <v/>
      </c>
      <c r="Q236" s="42" t="str">
        <f>+IF($Q$5=0,"",'4. '!P136)</f>
        <v/>
      </c>
      <c r="R236" s="42" t="str">
        <f>+IF($R$5=0,"",'4. '!Q136)</f>
        <v/>
      </c>
      <c r="S236" s="42" t="str">
        <f>+IF($S$5=0,"",'4. '!R136)</f>
        <v/>
      </c>
      <c r="T236" s="42" t="str">
        <f>+IF($T$5=0,"",'4. '!S136)</f>
        <v/>
      </c>
      <c r="U236" s="42" t="str">
        <f>+IF($U$5=0,"",'4. '!T136)</f>
        <v/>
      </c>
      <c r="V236" s="42" t="str">
        <f>+IF($V$5=0,"",'4. '!U136)</f>
        <v/>
      </c>
      <c r="W236" s="42" t="str">
        <f>+IF($W$5=0,"",'4. '!V136)</f>
        <v/>
      </c>
      <c r="X236" s="42" t="str">
        <f>+IF($X$5=0,"",'4. '!W136)</f>
        <v/>
      </c>
      <c r="Y236" s="42" t="str">
        <f>+IF($Y$5=0,"",'4. '!X136)</f>
        <v/>
      </c>
      <c r="Z236" s="42" t="str">
        <f>+IF($Z$5=0,"",'4. '!Y136)</f>
        <v/>
      </c>
      <c r="AA236" s="42" t="str">
        <f>+IF($AA$5=0,"",'4. '!Z136)</f>
        <v/>
      </c>
      <c r="AB236" s="42" t="str">
        <f>+IF($AB$5=0,"",'4. '!AA136)</f>
        <v/>
      </c>
      <c r="AC236" s="42" t="str">
        <f>+IF($AC$5=0,"",'4. '!AB136)</f>
        <v/>
      </c>
      <c r="AD236" s="42" t="str">
        <f>+IF($AD$5=0,"",'4. '!AC136)</f>
        <v/>
      </c>
      <c r="AE236" s="42" t="str">
        <f>+IF($AE$5=0,"",'4. '!AD136)</f>
        <v/>
      </c>
      <c r="AF236" s="42" t="str">
        <f>+IF($AF$5=0,"",'4. '!AE136)</f>
        <v/>
      </c>
      <c r="AG236" s="50" t="e">
        <f t="shared" si="4"/>
        <v>#DIV/0!</v>
      </c>
      <c r="AH236" s="6"/>
      <c r="AI236"/>
      <c r="AJ236"/>
    </row>
    <row r="237" spans="1:36" s="1" customFormat="1" ht="15.75" thickBot="1" x14ac:dyDescent="0.3">
      <c r="A237"/>
      <c r="B237" s="10" t="s">
        <v>102</v>
      </c>
      <c r="C237" s="42" t="str">
        <f>+IF($C$5=0,"",'4. '!B56)</f>
        <v/>
      </c>
      <c r="D237" s="42" t="str">
        <f>+IF($D$5=0,"",'4. '!C56)</f>
        <v/>
      </c>
      <c r="E237" s="42" t="str">
        <f>+IF($E$5=0,"",'4. '!D56)</f>
        <v/>
      </c>
      <c r="F237" s="42" t="str">
        <f>+IF($F$5=0,"",'4. '!E56)</f>
        <v/>
      </c>
      <c r="G237" s="42" t="str">
        <f>+IF($G$5=0,"",'4. '!F56)</f>
        <v/>
      </c>
      <c r="H237" s="42" t="str">
        <f>+IF($H$5=0,"",'4. '!G56)</f>
        <v/>
      </c>
      <c r="I237" s="42" t="str">
        <f>+IF($I$5=0,"",'4. '!H56)</f>
        <v/>
      </c>
      <c r="J237" s="42" t="str">
        <f>+IF($J$5=0,"",'4. '!I56)</f>
        <v/>
      </c>
      <c r="K237" s="42" t="str">
        <f>+IF($K$5=0,"",'4. '!J56)</f>
        <v/>
      </c>
      <c r="L237" s="42" t="str">
        <f>+IF($L$5=0,"",'4. '!K56)</f>
        <v/>
      </c>
      <c r="M237" s="42" t="str">
        <f>+IF($M$5=0,"",'4. '!L56)</f>
        <v/>
      </c>
      <c r="N237" s="42" t="str">
        <f>+IF($N$5=0,"",'4. '!M56)</f>
        <v/>
      </c>
      <c r="O237" s="42" t="str">
        <f>+IF($O$5=0,"",'4. '!N56)</f>
        <v/>
      </c>
      <c r="P237" s="42" t="str">
        <f>+IF($P$5=0,"",'4. '!O56)</f>
        <v/>
      </c>
      <c r="Q237" s="42" t="str">
        <f>+IF($Q$5=0,"",'4. '!P56)</f>
        <v/>
      </c>
      <c r="R237" s="42" t="str">
        <f>+IF($R$5=0,"",'4. '!Q56)</f>
        <v/>
      </c>
      <c r="S237" s="42" t="str">
        <f>+IF($S$5=0,"",'4. '!R56)</f>
        <v/>
      </c>
      <c r="T237" s="42" t="str">
        <f>+IF($T$5=0,"",'4. '!S56)</f>
        <v/>
      </c>
      <c r="U237" s="42" t="str">
        <f>+IF($U$5=0,"",'4. '!T56)</f>
        <v/>
      </c>
      <c r="V237" s="42" t="str">
        <f>+IF($V$5=0,"",'4. '!U56)</f>
        <v/>
      </c>
      <c r="W237" s="42" t="str">
        <f>+IF($W$5=0,"",'4. '!V56)</f>
        <v/>
      </c>
      <c r="X237" s="42" t="str">
        <f>+IF($X$5=0,"",'4. '!W56)</f>
        <v/>
      </c>
      <c r="Y237" s="42" t="str">
        <f>+IF($Y$5=0,"",'4. '!X56)</f>
        <v/>
      </c>
      <c r="Z237" s="42" t="str">
        <f>+IF($Z$5=0,"",'4. '!Y56)</f>
        <v/>
      </c>
      <c r="AA237" s="42" t="str">
        <f>+IF($AA$5=0,"",'4. '!Z56)</f>
        <v/>
      </c>
      <c r="AB237" s="42" t="str">
        <f>+IF($AB$5=0,"",'4. '!AA56)</f>
        <v/>
      </c>
      <c r="AC237" s="42" t="str">
        <f>+IF($AC$5=0,"",'4. '!AB56)</f>
        <v/>
      </c>
      <c r="AD237" s="42" t="str">
        <f>+IF($AD$5=0,"",'4. '!AC56)</f>
        <v/>
      </c>
      <c r="AE237" s="42" t="str">
        <f>+IF($AE$5=0,"",'4. '!AD56)</f>
        <v/>
      </c>
      <c r="AF237" s="42" t="str">
        <f>+IF($AF$5=0,"",'4. '!AE56)</f>
        <v/>
      </c>
      <c r="AG237" s="50" t="e">
        <f t="shared" si="4"/>
        <v>#DIV/0!</v>
      </c>
      <c r="AH237" s="6"/>
      <c r="AI237"/>
      <c r="AJ237"/>
    </row>
    <row r="238" spans="1:36" s="1" customFormat="1" ht="15.75" thickBot="1" x14ac:dyDescent="0.3">
      <c r="A238"/>
      <c r="B238" s="11" t="s">
        <v>99</v>
      </c>
      <c r="C238" s="42" t="str">
        <f>+IF($C$5=0,"",'4. '!B53)</f>
        <v/>
      </c>
      <c r="D238" s="42" t="str">
        <f>+IF($D$5=0,"",'4. '!C53)</f>
        <v/>
      </c>
      <c r="E238" s="42" t="str">
        <f>+IF($E$5=0,"",'4. '!D53)</f>
        <v/>
      </c>
      <c r="F238" s="42" t="str">
        <f>+IF($F$5=0,"",'4. '!E53)</f>
        <v/>
      </c>
      <c r="G238" s="42" t="str">
        <f>+IF($G$5=0,"",'4. '!F53)</f>
        <v/>
      </c>
      <c r="H238" s="42" t="str">
        <f>+IF($H$5=0,"",'4. '!G53)</f>
        <v/>
      </c>
      <c r="I238" s="42" t="str">
        <f>+IF($I$5=0,"",'4. '!H53)</f>
        <v/>
      </c>
      <c r="J238" s="42" t="str">
        <f>+IF($J$5=0,"",'4. '!I53)</f>
        <v/>
      </c>
      <c r="K238" s="42" t="str">
        <f>+IF($K$5=0,"",'4. '!J53)</f>
        <v/>
      </c>
      <c r="L238" s="42" t="str">
        <f>+IF($L$5=0,"",'4. '!K53)</f>
        <v/>
      </c>
      <c r="M238" s="42" t="str">
        <f>+IF($M$5=0,"",'4. '!L53)</f>
        <v/>
      </c>
      <c r="N238" s="42" t="str">
        <f>+IF($N$5=0,"",'4. '!M53)</f>
        <v/>
      </c>
      <c r="O238" s="42" t="str">
        <f>+IF($O$5=0,"",'4. '!N53)</f>
        <v/>
      </c>
      <c r="P238" s="42" t="str">
        <f>+IF($P$5=0,"",'4. '!O53)</f>
        <v/>
      </c>
      <c r="Q238" s="42" t="str">
        <f>+IF($Q$5=0,"",'4. '!P53)</f>
        <v/>
      </c>
      <c r="R238" s="42" t="str">
        <f>+IF($R$5=0,"",'4. '!Q53)</f>
        <v/>
      </c>
      <c r="S238" s="42" t="str">
        <f>+IF($S$5=0,"",'4. '!R53)</f>
        <v/>
      </c>
      <c r="T238" s="42" t="str">
        <f>+IF($T$5=0,"",'4. '!S53)</f>
        <v/>
      </c>
      <c r="U238" s="42" t="str">
        <f>+IF($U$5=0,"",'4. '!T53)</f>
        <v/>
      </c>
      <c r="V238" s="42" t="str">
        <f>+IF($V$5=0,"",'4. '!U53)</f>
        <v/>
      </c>
      <c r="W238" s="42" t="str">
        <f>+IF($W$5=0,"",'4. '!V53)</f>
        <v/>
      </c>
      <c r="X238" s="42" t="str">
        <f>+IF($X$5=0,"",'4. '!W53)</f>
        <v/>
      </c>
      <c r="Y238" s="42" t="str">
        <f>+IF($Y$5=0,"",'4. '!X53)</f>
        <v/>
      </c>
      <c r="Z238" s="42" t="str">
        <f>+IF($Z$5=0,"",'4. '!Y53)</f>
        <v/>
      </c>
      <c r="AA238" s="42" t="str">
        <f>+IF($AA$5=0,"",'4. '!Z53)</f>
        <v/>
      </c>
      <c r="AB238" s="42" t="str">
        <f>+IF($AB$5=0,"",'4. '!AA53)</f>
        <v/>
      </c>
      <c r="AC238" s="42" t="str">
        <f>+IF($AC$5=0,"",'4. '!AB53)</f>
        <v/>
      </c>
      <c r="AD238" s="42" t="str">
        <f>+IF($AD$5=0,"",'4. '!AC53)</f>
        <v/>
      </c>
      <c r="AE238" s="42" t="str">
        <f>+IF($AE$5=0,"",'4. '!AD53)</f>
        <v/>
      </c>
      <c r="AF238" s="42" t="str">
        <f>+IF($AF$5=0,"",'4. '!AE53)</f>
        <v/>
      </c>
      <c r="AG238" s="50" t="e">
        <f t="shared" si="4"/>
        <v>#DIV/0!</v>
      </c>
      <c r="AH238" s="6"/>
      <c r="AI238"/>
      <c r="AJ238"/>
    </row>
    <row r="239" spans="1:36" s="1" customFormat="1" ht="15.75" thickBot="1" x14ac:dyDescent="0.3">
      <c r="A239"/>
      <c r="B239" s="10" t="s">
        <v>104</v>
      </c>
      <c r="C239" s="42" t="str">
        <f>+IF($C$5=0,"",'4. '!B58)</f>
        <v/>
      </c>
      <c r="D239" s="42" t="str">
        <f>+IF($D$5=0,"",'4. '!C58)</f>
        <v/>
      </c>
      <c r="E239" s="42" t="str">
        <f>+IF($E$5=0,"",'4. '!D58)</f>
        <v/>
      </c>
      <c r="F239" s="42" t="str">
        <f>+IF($F$5=0,"",'4. '!E58)</f>
        <v/>
      </c>
      <c r="G239" s="42" t="str">
        <f>+IF($G$5=0,"",'4. '!F58)</f>
        <v/>
      </c>
      <c r="H239" s="42" t="str">
        <f>+IF($H$5=0,"",'4. '!G58)</f>
        <v/>
      </c>
      <c r="I239" s="42" t="str">
        <f>+IF($I$5=0,"",'4. '!H58)</f>
        <v/>
      </c>
      <c r="J239" s="42" t="str">
        <f>+IF($J$5=0,"",'4. '!I58)</f>
        <v/>
      </c>
      <c r="K239" s="42" t="str">
        <f>+IF($K$5=0,"",'4. '!J58)</f>
        <v/>
      </c>
      <c r="L239" s="42" t="str">
        <f>+IF($L$5=0,"",'4. '!K58)</f>
        <v/>
      </c>
      <c r="M239" s="42" t="str">
        <f>+IF($M$5=0,"",'4. '!L58)</f>
        <v/>
      </c>
      <c r="N239" s="42" t="str">
        <f>+IF($N$5=0,"",'4. '!M58)</f>
        <v/>
      </c>
      <c r="O239" s="42" t="str">
        <f>+IF($O$5=0,"",'4. '!N58)</f>
        <v/>
      </c>
      <c r="P239" s="42" t="str">
        <f>+IF($P$5=0,"",'4. '!O58)</f>
        <v/>
      </c>
      <c r="Q239" s="42" t="str">
        <f>+IF($Q$5=0,"",'4. '!P58)</f>
        <v/>
      </c>
      <c r="R239" s="42" t="str">
        <f>+IF($R$5=0,"",'4. '!Q58)</f>
        <v/>
      </c>
      <c r="S239" s="42" t="str">
        <f>+IF($S$5=0,"",'4. '!R58)</f>
        <v/>
      </c>
      <c r="T239" s="42" t="str">
        <f>+IF($T$5=0,"",'4. '!S58)</f>
        <v/>
      </c>
      <c r="U239" s="42" t="str">
        <f>+IF($U$5=0,"",'4. '!T58)</f>
        <v/>
      </c>
      <c r="V239" s="42" t="str">
        <f>+IF($V$5=0,"",'4. '!U58)</f>
        <v/>
      </c>
      <c r="W239" s="42" t="str">
        <f>+IF($W$5=0,"",'4. '!V58)</f>
        <v/>
      </c>
      <c r="X239" s="42" t="str">
        <f>+IF($X$5=0,"",'4. '!W58)</f>
        <v/>
      </c>
      <c r="Y239" s="42" t="str">
        <f>+IF($Y$5=0,"",'4. '!X58)</f>
        <v/>
      </c>
      <c r="Z239" s="42" t="str">
        <f>+IF($Z$5=0,"",'4. '!Y58)</f>
        <v/>
      </c>
      <c r="AA239" s="42" t="str">
        <f>+IF($AA$5=0,"",'4. '!Z58)</f>
        <v/>
      </c>
      <c r="AB239" s="42" t="str">
        <f>+IF($AB$5=0,"",'4. '!AA58)</f>
        <v/>
      </c>
      <c r="AC239" s="42" t="str">
        <f>+IF($AC$5=0,"",'4. '!AB58)</f>
        <v/>
      </c>
      <c r="AD239" s="42" t="str">
        <f>+IF($AD$5=0,"",'4. '!AC58)</f>
        <v/>
      </c>
      <c r="AE239" s="42" t="str">
        <f>+IF($AE$5=0,"",'4. '!AD58)</f>
        <v/>
      </c>
      <c r="AF239" s="42" t="str">
        <f>+IF($AF$5=0,"",'4. '!AE58)</f>
        <v/>
      </c>
      <c r="AG239" s="50" t="e">
        <f t="shared" si="4"/>
        <v>#DIV/0!</v>
      </c>
      <c r="AH239" s="6"/>
      <c r="AI239"/>
      <c r="AJ239"/>
    </row>
    <row r="240" spans="1:36" s="1" customFormat="1" ht="15.75" thickBot="1" x14ac:dyDescent="0.3">
      <c r="A240"/>
      <c r="B240" s="11" t="s">
        <v>101</v>
      </c>
      <c r="C240" s="42" t="str">
        <f>+IF($C$5=0,"",'4. '!B55)</f>
        <v/>
      </c>
      <c r="D240" s="42" t="str">
        <f>+IF($D$5=0,"",'4. '!C55)</f>
        <v/>
      </c>
      <c r="E240" s="42" t="str">
        <f>+IF($E$5=0,"",'4. '!D55)</f>
        <v/>
      </c>
      <c r="F240" s="42" t="str">
        <f>+IF($F$5=0,"",'4. '!E55)</f>
        <v/>
      </c>
      <c r="G240" s="42" t="str">
        <f>+IF($G$5=0,"",'4. '!F55)</f>
        <v/>
      </c>
      <c r="H240" s="42" t="str">
        <f>+IF($H$5=0,"",'4. '!G55)</f>
        <v/>
      </c>
      <c r="I240" s="42" t="str">
        <f>+IF($I$5=0,"",'4. '!H55)</f>
        <v/>
      </c>
      <c r="J240" s="42" t="str">
        <f>+IF($J$5=0,"",'4. '!I55)</f>
        <v/>
      </c>
      <c r="K240" s="42" t="str">
        <f>+IF($K$5=0,"",'4. '!J55)</f>
        <v/>
      </c>
      <c r="L240" s="42" t="str">
        <f>+IF($L$5=0,"",'4. '!K55)</f>
        <v/>
      </c>
      <c r="M240" s="42" t="str">
        <f>+IF($M$5=0,"",'4. '!L55)</f>
        <v/>
      </c>
      <c r="N240" s="42" t="str">
        <f>+IF($N$5=0,"",'4. '!M55)</f>
        <v/>
      </c>
      <c r="O240" s="42" t="str">
        <f>+IF($O$5=0,"",'4. '!N55)</f>
        <v/>
      </c>
      <c r="P240" s="42" t="str">
        <f>+IF($P$5=0,"",'4. '!O55)</f>
        <v/>
      </c>
      <c r="Q240" s="42" t="str">
        <f>+IF($Q$5=0,"",'4. '!P55)</f>
        <v/>
      </c>
      <c r="R240" s="42" t="str">
        <f>+IF($R$5=0,"",'4. '!Q55)</f>
        <v/>
      </c>
      <c r="S240" s="42" t="str">
        <f>+IF($S$5=0,"",'4. '!R55)</f>
        <v/>
      </c>
      <c r="T240" s="42" t="str">
        <f>+IF($T$5=0,"",'4. '!S55)</f>
        <v/>
      </c>
      <c r="U240" s="42" t="str">
        <f>+IF($U$5=0,"",'4. '!T55)</f>
        <v/>
      </c>
      <c r="V240" s="42" t="str">
        <f>+IF($V$5=0,"",'4. '!U55)</f>
        <v/>
      </c>
      <c r="W240" s="42" t="str">
        <f>+IF($W$5=0,"",'4. '!V55)</f>
        <v/>
      </c>
      <c r="X240" s="42" t="str">
        <f>+IF($X$5=0,"",'4. '!W55)</f>
        <v/>
      </c>
      <c r="Y240" s="42" t="str">
        <f>+IF($Y$5=0,"",'4. '!X55)</f>
        <v/>
      </c>
      <c r="Z240" s="42" t="str">
        <f>+IF($Z$5=0,"",'4. '!Y55)</f>
        <v/>
      </c>
      <c r="AA240" s="42" t="str">
        <f>+IF($AA$5=0,"",'4. '!Z55)</f>
        <v/>
      </c>
      <c r="AB240" s="42" t="str">
        <f>+IF($AB$5=0,"",'4. '!AA55)</f>
        <v/>
      </c>
      <c r="AC240" s="42" t="str">
        <f>+IF($AC$5=0,"",'4. '!AB55)</f>
        <v/>
      </c>
      <c r="AD240" s="42" t="str">
        <f>+IF($AD$5=0,"",'4. '!AC55)</f>
        <v/>
      </c>
      <c r="AE240" s="42" t="str">
        <f>+IF($AE$5=0,"",'4. '!AD55)</f>
        <v/>
      </c>
      <c r="AF240" s="42" t="str">
        <f>+IF($AF$5=0,"",'4. '!AE55)</f>
        <v/>
      </c>
      <c r="AG240" s="50" t="e">
        <f t="shared" si="4"/>
        <v>#DIV/0!</v>
      </c>
      <c r="AH240" s="6"/>
      <c r="AI240"/>
      <c r="AJ240"/>
    </row>
    <row r="241" spans="1:36" s="1" customFormat="1" ht="15.75" thickBot="1" x14ac:dyDescent="0.3">
      <c r="A241"/>
      <c r="B241" s="10" t="s">
        <v>168</v>
      </c>
      <c r="C241" s="42" t="str">
        <f>+IF($C$5=0,"",'4. '!B110)</f>
        <v/>
      </c>
      <c r="D241" s="42" t="str">
        <f>+IF($D$5=0,"",'4. '!C110)</f>
        <v/>
      </c>
      <c r="E241" s="42" t="str">
        <f>+IF($E$5=0,"",'4. '!D110)</f>
        <v/>
      </c>
      <c r="F241" s="42" t="str">
        <f>+IF($F$5=0,"",'4. '!E110)</f>
        <v/>
      </c>
      <c r="G241" s="42" t="str">
        <f>+IF($G$5=0,"",'4. '!F110)</f>
        <v/>
      </c>
      <c r="H241" s="42" t="str">
        <f>+IF($H$5=0,"",'4. '!G110)</f>
        <v/>
      </c>
      <c r="I241" s="42" t="str">
        <f>+IF($I$5=0,"",'4. '!H110)</f>
        <v/>
      </c>
      <c r="J241" s="42" t="str">
        <f>+IF($J$5=0,"",'4. '!I110)</f>
        <v/>
      </c>
      <c r="K241" s="42" t="str">
        <f>+IF($K$5=0,"",'4. '!J110)</f>
        <v/>
      </c>
      <c r="L241" s="42" t="str">
        <f>+IF($L$5=0,"",'4. '!K110)</f>
        <v/>
      </c>
      <c r="M241" s="42" t="str">
        <f>+IF($M$5=0,"",'4. '!L110)</f>
        <v/>
      </c>
      <c r="N241" s="42" t="str">
        <f>+IF($N$5=0,"",'4. '!M110)</f>
        <v/>
      </c>
      <c r="O241" s="42" t="str">
        <f>+IF($O$5=0,"",'4. '!N110)</f>
        <v/>
      </c>
      <c r="P241" s="42" t="str">
        <f>+IF($P$5=0,"",'4. '!O110)</f>
        <v/>
      </c>
      <c r="Q241" s="42" t="str">
        <f>+IF($Q$5=0,"",'4. '!P110)</f>
        <v/>
      </c>
      <c r="R241" s="42" t="str">
        <f>+IF($R$5=0,"",'4. '!Q110)</f>
        <v/>
      </c>
      <c r="S241" s="42" t="str">
        <f>+IF($S$5=0,"",'4. '!R110)</f>
        <v/>
      </c>
      <c r="T241" s="42" t="str">
        <f>+IF($T$5=0,"",'4. '!S110)</f>
        <v/>
      </c>
      <c r="U241" s="42" t="str">
        <f>+IF($U$5=0,"",'4. '!T110)</f>
        <v/>
      </c>
      <c r="V241" s="42" t="str">
        <f>+IF($V$5=0,"",'4. '!U110)</f>
        <v/>
      </c>
      <c r="W241" s="42" t="str">
        <f>+IF($W$5=0,"",'4. '!V110)</f>
        <v/>
      </c>
      <c r="X241" s="42" t="str">
        <f>+IF($X$5=0,"",'4. '!W110)</f>
        <v/>
      </c>
      <c r="Y241" s="42" t="str">
        <f>+IF($Y$5=0,"",'4. '!X110)</f>
        <v/>
      </c>
      <c r="Z241" s="42" t="str">
        <f>+IF($Z$5=0,"",'4. '!Y110)</f>
        <v/>
      </c>
      <c r="AA241" s="42" t="str">
        <f>+IF($AA$5=0,"",'4. '!Z110)</f>
        <v/>
      </c>
      <c r="AB241" s="42" t="str">
        <f>+IF($AB$5=0,"",'4. '!AA110)</f>
        <v/>
      </c>
      <c r="AC241" s="42" t="str">
        <f>+IF($AC$5=0,"",'4. '!AB110)</f>
        <v/>
      </c>
      <c r="AD241" s="42" t="str">
        <f>+IF($AD$5=0,"",'4. '!AC110)</f>
        <v/>
      </c>
      <c r="AE241" s="42" t="str">
        <f>+IF($AE$5=0,"",'4. '!AD110)</f>
        <v/>
      </c>
      <c r="AF241" s="42" t="str">
        <f>+IF($AF$5=0,"",'4. '!AE110)</f>
        <v/>
      </c>
      <c r="AG241" s="50" t="e">
        <f t="shared" si="4"/>
        <v>#DIV/0!</v>
      </c>
      <c r="AH241" s="6"/>
      <c r="AI241"/>
      <c r="AJ241"/>
    </row>
    <row r="242" spans="1:36" s="1" customFormat="1" ht="15.75" thickBot="1" x14ac:dyDescent="0.3">
      <c r="A242"/>
      <c r="B242" s="11" t="s">
        <v>165</v>
      </c>
      <c r="C242" s="42" t="str">
        <f>+IF($C$5=0,"",'4. '!B107)</f>
        <v/>
      </c>
      <c r="D242" s="42" t="str">
        <f>+IF($D$5=0,"",'4. '!C107)</f>
        <v/>
      </c>
      <c r="E242" s="42" t="str">
        <f>+IF($E$5=0,"",'4. '!D107)</f>
        <v/>
      </c>
      <c r="F242" s="42" t="str">
        <f>+IF($F$5=0,"",'4. '!E107)</f>
        <v/>
      </c>
      <c r="G242" s="42" t="str">
        <f>+IF($G$5=0,"",'4. '!F107)</f>
        <v/>
      </c>
      <c r="H242" s="42" t="str">
        <f>+IF($H$5=0,"",'4. '!G107)</f>
        <v/>
      </c>
      <c r="I242" s="42" t="str">
        <f>+IF($I$5=0,"",'4. '!H107)</f>
        <v/>
      </c>
      <c r="J242" s="42" t="str">
        <f>+IF($J$5=0,"",'4. '!I107)</f>
        <v/>
      </c>
      <c r="K242" s="42" t="str">
        <f>+IF($K$5=0,"",'4. '!J107)</f>
        <v/>
      </c>
      <c r="L242" s="42" t="str">
        <f>+IF($L$5=0,"",'4. '!K107)</f>
        <v/>
      </c>
      <c r="M242" s="42" t="str">
        <f>+IF($M$5=0,"",'4. '!L107)</f>
        <v/>
      </c>
      <c r="N242" s="42" t="str">
        <f>+IF($N$5=0,"",'4. '!M107)</f>
        <v/>
      </c>
      <c r="O242" s="42" t="str">
        <f>+IF($O$5=0,"",'4. '!N107)</f>
        <v/>
      </c>
      <c r="P242" s="42" t="str">
        <f>+IF($P$5=0,"",'4. '!O107)</f>
        <v/>
      </c>
      <c r="Q242" s="42" t="str">
        <f>+IF($Q$5=0,"",'4. '!P107)</f>
        <v/>
      </c>
      <c r="R242" s="42" t="str">
        <f>+IF($R$5=0,"",'4. '!Q107)</f>
        <v/>
      </c>
      <c r="S242" s="42" t="str">
        <f>+IF($S$5=0,"",'4. '!R107)</f>
        <v/>
      </c>
      <c r="T242" s="42" t="str">
        <f>+IF($T$5=0,"",'4. '!S107)</f>
        <v/>
      </c>
      <c r="U242" s="42" t="str">
        <f>+IF($U$5=0,"",'4. '!T107)</f>
        <v/>
      </c>
      <c r="V242" s="42" t="str">
        <f>+IF($V$5=0,"",'4. '!U107)</f>
        <v/>
      </c>
      <c r="W242" s="42" t="str">
        <f>+IF($W$5=0,"",'4. '!V107)</f>
        <v/>
      </c>
      <c r="X242" s="42" t="str">
        <f>+IF($X$5=0,"",'4. '!W107)</f>
        <v/>
      </c>
      <c r="Y242" s="42" t="str">
        <f>+IF($Y$5=0,"",'4. '!X107)</f>
        <v/>
      </c>
      <c r="Z242" s="42" t="str">
        <f>+IF($Z$5=0,"",'4. '!Y107)</f>
        <v/>
      </c>
      <c r="AA242" s="42" t="str">
        <f>+IF($AA$5=0,"",'4. '!Z107)</f>
        <v/>
      </c>
      <c r="AB242" s="42" t="str">
        <f>+IF($AB$5=0,"",'4. '!AA107)</f>
        <v/>
      </c>
      <c r="AC242" s="42" t="str">
        <f>+IF($AC$5=0,"",'4. '!AB107)</f>
        <v/>
      </c>
      <c r="AD242" s="42" t="str">
        <f>+IF($AD$5=0,"",'4. '!AC107)</f>
        <v/>
      </c>
      <c r="AE242" s="42" t="str">
        <f>+IF($AE$5=0,"",'4. '!AD107)</f>
        <v/>
      </c>
      <c r="AF242" s="42" t="str">
        <f>+IF($AF$5=0,"",'4. '!AE107)</f>
        <v/>
      </c>
      <c r="AG242" s="50" t="e">
        <f t="shared" si="4"/>
        <v>#DIV/0!</v>
      </c>
      <c r="AH242" s="6"/>
      <c r="AI242"/>
      <c r="AJ242"/>
    </row>
    <row r="243" spans="1:36" s="1" customFormat="1" ht="15.75" thickBot="1" x14ac:dyDescent="0.3">
      <c r="A243"/>
      <c r="B243" s="10" t="s">
        <v>170</v>
      </c>
      <c r="C243" s="42" t="str">
        <f>+IF($C$5=0,"",'4. '!B112)</f>
        <v/>
      </c>
      <c r="D243" s="42" t="str">
        <f>+IF($D$5=0,"",'4. '!C112)</f>
        <v/>
      </c>
      <c r="E243" s="42" t="str">
        <f>+IF($E$5=0,"",'4. '!D112)</f>
        <v/>
      </c>
      <c r="F243" s="42" t="str">
        <f>+IF($F$5=0,"",'4. '!E112)</f>
        <v/>
      </c>
      <c r="G243" s="42" t="str">
        <f>+IF($G$5=0,"",'4. '!F112)</f>
        <v/>
      </c>
      <c r="H243" s="42" t="str">
        <f>+IF($H$5=0,"",'4. '!G112)</f>
        <v/>
      </c>
      <c r="I243" s="42" t="str">
        <f>+IF($I$5=0,"",'4. '!H112)</f>
        <v/>
      </c>
      <c r="J243" s="42" t="str">
        <f>+IF($J$5=0,"",'4. '!I112)</f>
        <v/>
      </c>
      <c r="K243" s="42" t="str">
        <f>+IF($K$5=0,"",'4. '!J112)</f>
        <v/>
      </c>
      <c r="L243" s="42" t="str">
        <f>+IF($L$5=0,"",'4. '!K112)</f>
        <v/>
      </c>
      <c r="M243" s="42" t="str">
        <f>+IF($M$5=0,"",'4. '!L112)</f>
        <v/>
      </c>
      <c r="N243" s="42" t="str">
        <f>+IF($N$5=0,"",'4. '!M112)</f>
        <v/>
      </c>
      <c r="O243" s="42" t="str">
        <f>+IF($O$5=0,"",'4. '!N112)</f>
        <v/>
      </c>
      <c r="P243" s="42" t="str">
        <f>+IF($P$5=0,"",'4. '!O112)</f>
        <v/>
      </c>
      <c r="Q243" s="42" t="str">
        <f>+IF($Q$5=0,"",'4. '!P112)</f>
        <v/>
      </c>
      <c r="R243" s="42" t="str">
        <f>+IF($R$5=0,"",'4. '!Q112)</f>
        <v/>
      </c>
      <c r="S243" s="42" t="str">
        <f>+IF($S$5=0,"",'4. '!R112)</f>
        <v/>
      </c>
      <c r="T243" s="42" t="str">
        <f>+IF($T$5=0,"",'4. '!S112)</f>
        <v/>
      </c>
      <c r="U243" s="42" t="str">
        <f>+IF($U$5=0,"",'4. '!T112)</f>
        <v/>
      </c>
      <c r="V243" s="42" t="str">
        <f>+IF($V$5=0,"",'4. '!U112)</f>
        <v/>
      </c>
      <c r="W243" s="42" t="str">
        <f>+IF($W$5=0,"",'4. '!V112)</f>
        <v/>
      </c>
      <c r="X243" s="42" t="str">
        <f>+IF($X$5=0,"",'4. '!W112)</f>
        <v/>
      </c>
      <c r="Y243" s="42" t="str">
        <f>+IF($Y$5=0,"",'4. '!X112)</f>
        <v/>
      </c>
      <c r="Z243" s="42" t="str">
        <f>+IF($Z$5=0,"",'4. '!Y112)</f>
        <v/>
      </c>
      <c r="AA243" s="42" t="str">
        <f>+IF($AA$5=0,"",'4. '!Z112)</f>
        <v/>
      </c>
      <c r="AB243" s="42" t="str">
        <f>+IF($AB$5=0,"",'4. '!AA112)</f>
        <v/>
      </c>
      <c r="AC243" s="42" t="str">
        <f>+IF($AC$5=0,"",'4. '!AB112)</f>
        <v/>
      </c>
      <c r="AD243" s="42" t="str">
        <f>+IF($AD$5=0,"",'4. '!AC112)</f>
        <v/>
      </c>
      <c r="AE243" s="42" t="str">
        <f>+IF($AE$5=0,"",'4. '!AD112)</f>
        <v/>
      </c>
      <c r="AF243" s="42" t="str">
        <f>+IF($AF$5=0,"",'4. '!AE112)</f>
        <v/>
      </c>
      <c r="AG243" s="50" t="e">
        <f t="shared" si="4"/>
        <v>#DIV/0!</v>
      </c>
      <c r="AH243" s="6"/>
      <c r="AI243"/>
      <c r="AJ243"/>
    </row>
    <row r="244" spans="1:36" s="1" customFormat="1" ht="15.75" thickBot="1" x14ac:dyDescent="0.3">
      <c r="A244"/>
      <c r="B244" s="11" t="s">
        <v>167</v>
      </c>
      <c r="C244" s="42" t="str">
        <f>+IF($C$5=0,"",'4. '!B109)</f>
        <v/>
      </c>
      <c r="D244" s="42" t="str">
        <f>+IF($D$5=0,"",'4. '!C109)</f>
        <v/>
      </c>
      <c r="E244" s="42" t="str">
        <f>+IF($E$5=0,"",'4. '!D109)</f>
        <v/>
      </c>
      <c r="F244" s="42" t="str">
        <f>+IF($F$5=0,"",'4. '!E109)</f>
        <v/>
      </c>
      <c r="G244" s="42" t="str">
        <f>+IF($G$5=0,"",'4. '!F109)</f>
        <v/>
      </c>
      <c r="H244" s="42" t="str">
        <f>+IF($H$5=0,"",'4. '!G109)</f>
        <v/>
      </c>
      <c r="I244" s="42" t="str">
        <f>+IF($I$5=0,"",'4. '!H109)</f>
        <v/>
      </c>
      <c r="J244" s="42" t="str">
        <f>+IF($J$5=0,"",'4. '!I109)</f>
        <v/>
      </c>
      <c r="K244" s="42" t="str">
        <f>+IF($K$5=0,"",'4. '!J109)</f>
        <v/>
      </c>
      <c r="L244" s="42" t="str">
        <f>+IF($L$5=0,"",'4. '!K109)</f>
        <v/>
      </c>
      <c r="M244" s="42" t="str">
        <f>+IF($M$5=0,"",'4. '!L109)</f>
        <v/>
      </c>
      <c r="N244" s="42" t="str">
        <f>+IF($N$5=0,"",'4. '!M109)</f>
        <v/>
      </c>
      <c r="O244" s="42" t="str">
        <f>+IF($O$5=0,"",'4. '!N109)</f>
        <v/>
      </c>
      <c r="P244" s="42" t="str">
        <f>+IF($P$5=0,"",'4. '!O109)</f>
        <v/>
      </c>
      <c r="Q244" s="42" t="str">
        <f>+IF($Q$5=0,"",'4. '!P109)</f>
        <v/>
      </c>
      <c r="R244" s="42" t="str">
        <f>+IF($R$5=0,"",'4. '!Q109)</f>
        <v/>
      </c>
      <c r="S244" s="42" t="str">
        <f>+IF($S$5=0,"",'4. '!R109)</f>
        <v/>
      </c>
      <c r="T244" s="42" t="str">
        <f>+IF($T$5=0,"",'4. '!S109)</f>
        <v/>
      </c>
      <c r="U244" s="42" t="str">
        <f>+IF($U$5=0,"",'4. '!T109)</f>
        <v/>
      </c>
      <c r="V244" s="42" t="str">
        <f>+IF($V$5=0,"",'4. '!U109)</f>
        <v/>
      </c>
      <c r="W244" s="42" t="str">
        <f>+IF($W$5=0,"",'4. '!V109)</f>
        <v/>
      </c>
      <c r="X244" s="42" t="str">
        <f>+IF($X$5=0,"",'4. '!W109)</f>
        <v/>
      </c>
      <c r="Y244" s="42" t="str">
        <f>+IF($Y$5=0,"",'4. '!X109)</f>
        <v/>
      </c>
      <c r="Z244" s="42" t="str">
        <f>+IF($Z$5=0,"",'4. '!Y109)</f>
        <v/>
      </c>
      <c r="AA244" s="42" t="str">
        <f>+IF($AA$5=0,"",'4. '!Z109)</f>
        <v/>
      </c>
      <c r="AB244" s="42" t="str">
        <f>+IF($AB$5=0,"",'4. '!AA109)</f>
        <v/>
      </c>
      <c r="AC244" s="42" t="str">
        <f>+IF($AC$5=0,"",'4. '!AB109)</f>
        <v/>
      </c>
      <c r="AD244" s="42" t="str">
        <f>+IF($AD$5=0,"",'4. '!AC109)</f>
        <v/>
      </c>
      <c r="AE244" s="42" t="str">
        <f>+IF($AE$5=0,"",'4. '!AD109)</f>
        <v/>
      </c>
      <c r="AF244" s="42" t="str">
        <f>+IF($AF$5=0,"",'4. '!AE109)</f>
        <v/>
      </c>
      <c r="AG244" s="50" t="e">
        <f t="shared" si="4"/>
        <v>#DIV/0!</v>
      </c>
      <c r="AH244" s="6"/>
      <c r="AI244"/>
      <c r="AJ244"/>
    </row>
    <row r="245" spans="1:36" s="1" customFormat="1" ht="15.75" thickBot="1" x14ac:dyDescent="0.3">
      <c r="A245"/>
      <c r="B245" s="10" t="s">
        <v>75</v>
      </c>
      <c r="C245" s="42" t="str">
        <f>+IF($C$5=0,"",'4. '!B29)</f>
        <v/>
      </c>
      <c r="D245" s="42" t="str">
        <f>+IF($D$5=0,"",'4. '!C29)</f>
        <v/>
      </c>
      <c r="E245" s="42" t="str">
        <f>+IF($E$5=0,"",'4. '!D29)</f>
        <v/>
      </c>
      <c r="F245" s="42" t="str">
        <f>+IF($F$5=0,"",'4. '!E29)</f>
        <v/>
      </c>
      <c r="G245" s="42" t="str">
        <f>+IF($G$5=0,"",'4. '!F29)</f>
        <v/>
      </c>
      <c r="H245" s="42" t="str">
        <f>+IF($H$5=0,"",'4. '!G29)</f>
        <v/>
      </c>
      <c r="I245" s="42" t="str">
        <f>+IF($I$5=0,"",'4. '!H29)</f>
        <v/>
      </c>
      <c r="J245" s="42" t="str">
        <f>+IF($J$5=0,"",'4. '!I29)</f>
        <v/>
      </c>
      <c r="K245" s="42" t="str">
        <f>+IF($K$5=0,"",'4. '!J29)</f>
        <v/>
      </c>
      <c r="L245" s="42" t="str">
        <f>+IF($L$5=0,"",'4. '!K29)</f>
        <v/>
      </c>
      <c r="M245" s="42" t="str">
        <f>+IF($M$5=0,"",'4. '!L29)</f>
        <v/>
      </c>
      <c r="N245" s="42" t="str">
        <f>+IF($N$5=0,"",'4. '!M29)</f>
        <v/>
      </c>
      <c r="O245" s="42" t="str">
        <f>+IF($O$5=0,"",'4. '!N29)</f>
        <v/>
      </c>
      <c r="P245" s="42" t="str">
        <f>+IF($P$5=0,"",'4. '!O29)</f>
        <v/>
      </c>
      <c r="Q245" s="42" t="str">
        <f>+IF($Q$5=0,"",'4. '!P29)</f>
        <v/>
      </c>
      <c r="R245" s="42" t="str">
        <f>+IF($R$5=0,"",'4. '!Q29)</f>
        <v/>
      </c>
      <c r="S245" s="42" t="str">
        <f>+IF($S$5=0,"",'4. '!R29)</f>
        <v/>
      </c>
      <c r="T245" s="42" t="str">
        <f>+IF($T$5=0,"",'4. '!S29)</f>
        <v/>
      </c>
      <c r="U245" s="42" t="str">
        <f>+IF($U$5=0,"",'4. '!T29)</f>
        <v/>
      </c>
      <c r="V245" s="42" t="str">
        <f>+IF($V$5=0,"",'4. '!U29)</f>
        <v/>
      </c>
      <c r="W245" s="42" t="str">
        <f>+IF($W$5=0,"",'4. '!V29)</f>
        <v/>
      </c>
      <c r="X245" s="42" t="str">
        <f>+IF($X$5=0,"",'4. '!W29)</f>
        <v/>
      </c>
      <c r="Y245" s="42" t="str">
        <f>+IF($Y$5=0,"",'4. '!X29)</f>
        <v/>
      </c>
      <c r="Z245" s="42" t="str">
        <f>+IF($Z$5=0,"",'4. '!Y29)</f>
        <v/>
      </c>
      <c r="AA245" s="42" t="str">
        <f>+IF($AA$5=0,"",'4. '!Z29)</f>
        <v/>
      </c>
      <c r="AB245" s="42" t="str">
        <f>+IF($AB$5=0,"",'4. '!AA29)</f>
        <v/>
      </c>
      <c r="AC245" s="42" t="str">
        <f>+IF($AC$5=0,"",'4. '!AB29)</f>
        <v/>
      </c>
      <c r="AD245" s="42" t="str">
        <f>+IF($AD$5=0,"",'4. '!AC29)</f>
        <v/>
      </c>
      <c r="AE245" s="42" t="str">
        <f>+IF($AE$5=0,"",'4. '!AD29)</f>
        <v/>
      </c>
      <c r="AF245" s="42" t="str">
        <f>+IF($AF$5=0,"",'4. '!AE29)</f>
        <v/>
      </c>
      <c r="AG245" s="50" t="e">
        <f t="shared" si="4"/>
        <v>#DIV/0!</v>
      </c>
      <c r="AH245" s="6"/>
      <c r="AI245"/>
      <c r="AJ245"/>
    </row>
    <row r="246" spans="1:36" s="1" customFormat="1" ht="15.75" thickBot="1" x14ac:dyDescent="0.3">
      <c r="A246"/>
      <c r="B246" s="11" t="s">
        <v>72</v>
      </c>
      <c r="C246" s="42" t="str">
        <f>+IF($C$5=0,"",'4. '!B26)</f>
        <v/>
      </c>
      <c r="D246" s="42" t="str">
        <f>+IF($D$5=0,"",'4. '!C26)</f>
        <v/>
      </c>
      <c r="E246" s="42" t="str">
        <f>+IF($E$5=0,"",'4. '!D26)</f>
        <v/>
      </c>
      <c r="F246" s="42" t="str">
        <f>+IF($F$5=0,"",'4. '!E26)</f>
        <v/>
      </c>
      <c r="G246" s="42" t="str">
        <f>+IF($G$5=0,"",'4. '!F26)</f>
        <v/>
      </c>
      <c r="H246" s="42" t="str">
        <f>+IF($H$5=0,"",'4. '!G26)</f>
        <v/>
      </c>
      <c r="I246" s="42" t="str">
        <f>+IF($I$5=0,"",'4. '!H26)</f>
        <v/>
      </c>
      <c r="J246" s="42" t="str">
        <f>+IF($J$5=0,"",'4. '!I26)</f>
        <v/>
      </c>
      <c r="K246" s="42" t="str">
        <f>+IF($K$5=0,"",'4. '!J26)</f>
        <v/>
      </c>
      <c r="L246" s="42" t="str">
        <f>+IF($L$5=0,"",'4. '!K26)</f>
        <v/>
      </c>
      <c r="M246" s="42" t="str">
        <f>+IF($M$5=0,"",'4. '!L26)</f>
        <v/>
      </c>
      <c r="N246" s="42" t="str">
        <f>+IF($N$5=0,"",'4. '!M26)</f>
        <v/>
      </c>
      <c r="O246" s="42" t="str">
        <f>+IF($O$5=0,"",'4. '!N26)</f>
        <v/>
      </c>
      <c r="P246" s="42" t="str">
        <f>+IF($P$5=0,"",'4. '!O26)</f>
        <v/>
      </c>
      <c r="Q246" s="42" t="str">
        <f>+IF($Q$5=0,"",'4. '!P26)</f>
        <v/>
      </c>
      <c r="R246" s="42" t="str">
        <f>+IF($R$5=0,"",'4. '!Q26)</f>
        <v/>
      </c>
      <c r="S246" s="42" t="str">
        <f>+IF($S$5=0,"",'4. '!R26)</f>
        <v/>
      </c>
      <c r="T246" s="42" t="str">
        <f>+IF($T$5=0,"",'4. '!S26)</f>
        <v/>
      </c>
      <c r="U246" s="42" t="str">
        <f>+IF($U$5=0,"",'4. '!T26)</f>
        <v/>
      </c>
      <c r="V246" s="42" t="str">
        <f>+IF($V$5=0,"",'4. '!U26)</f>
        <v/>
      </c>
      <c r="W246" s="42" t="str">
        <f>+IF($W$5=0,"",'4. '!V26)</f>
        <v/>
      </c>
      <c r="X246" s="42" t="str">
        <f>+IF($X$5=0,"",'4. '!W26)</f>
        <v/>
      </c>
      <c r="Y246" s="42" t="str">
        <f>+IF($Y$5=0,"",'4. '!X26)</f>
        <v/>
      </c>
      <c r="Z246" s="42" t="str">
        <f>+IF($Z$5=0,"",'4. '!Y26)</f>
        <v/>
      </c>
      <c r="AA246" s="42" t="str">
        <f>+IF($AA$5=0,"",'4. '!Z26)</f>
        <v/>
      </c>
      <c r="AB246" s="42" t="str">
        <f>+IF($AB$5=0,"",'4. '!AA26)</f>
        <v/>
      </c>
      <c r="AC246" s="42" t="str">
        <f>+IF($AC$5=0,"",'4. '!AB26)</f>
        <v/>
      </c>
      <c r="AD246" s="42" t="str">
        <f>+IF($AD$5=0,"",'4. '!AC26)</f>
        <v/>
      </c>
      <c r="AE246" s="42" t="str">
        <f>+IF($AE$5=0,"",'4. '!AD26)</f>
        <v/>
      </c>
      <c r="AF246" s="42" t="str">
        <f>+IF($AF$5=0,"",'4. '!AE26)</f>
        <v/>
      </c>
      <c r="AG246" s="50" t="e">
        <f t="shared" si="4"/>
        <v>#DIV/0!</v>
      </c>
      <c r="AH246" s="6"/>
      <c r="AI246"/>
      <c r="AJ246"/>
    </row>
    <row r="247" spans="1:36" s="1" customFormat="1" ht="15.75" thickBot="1" x14ac:dyDescent="0.3">
      <c r="A247"/>
      <c r="B247" s="10" t="s">
        <v>77</v>
      </c>
      <c r="C247" s="42" t="str">
        <f>+IF($C$5=0,"",'4. '!B31)</f>
        <v/>
      </c>
      <c r="D247" s="42" t="str">
        <f>+IF($D$5=0,"",'4. '!C31)</f>
        <v/>
      </c>
      <c r="E247" s="42" t="str">
        <f>+IF($E$5=0,"",'4. '!D31)</f>
        <v/>
      </c>
      <c r="F247" s="42" t="str">
        <f>+IF($F$5=0,"",'4. '!E31)</f>
        <v/>
      </c>
      <c r="G247" s="42" t="str">
        <f>+IF($G$5=0,"",'4. '!F31)</f>
        <v/>
      </c>
      <c r="H247" s="42" t="str">
        <f>+IF($H$5=0,"",'4. '!G31)</f>
        <v/>
      </c>
      <c r="I247" s="42" t="str">
        <f>+IF($I$5=0,"",'4. '!H31)</f>
        <v/>
      </c>
      <c r="J247" s="42" t="str">
        <f>+IF($J$5=0,"",'4. '!I31)</f>
        <v/>
      </c>
      <c r="K247" s="42" t="str">
        <f>+IF($K$5=0,"",'4. '!J31)</f>
        <v/>
      </c>
      <c r="L247" s="42" t="str">
        <f>+IF($L$5=0,"",'4. '!K31)</f>
        <v/>
      </c>
      <c r="M247" s="42" t="str">
        <f>+IF($M$5=0,"",'4. '!L31)</f>
        <v/>
      </c>
      <c r="N247" s="42" t="str">
        <f>+IF($N$5=0,"",'4. '!M31)</f>
        <v/>
      </c>
      <c r="O247" s="42" t="str">
        <f>+IF($O$5=0,"",'4. '!N31)</f>
        <v/>
      </c>
      <c r="P247" s="42" t="str">
        <f>+IF($P$5=0,"",'4. '!O31)</f>
        <v/>
      </c>
      <c r="Q247" s="42" t="str">
        <f>+IF($Q$5=0,"",'4. '!P31)</f>
        <v/>
      </c>
      <c r="R247" s="42" t="str">
        <f>+IF($R$5=0,"",'4. '!Q31)</f>
        <v/>
      </c>
      <c r="S247" s="42" t="str">
        <f>+IF($S$5=0,"",'4. '!R31)</f>
        <v/>
      </c>
      <c r="T247" s="42" t="str">
        <f>+IF($T$5=0,"",'4. '!S31)</f>
        <v/>
      </c>
      <c r="U247" s="42" t="str">
        <f>+IF($U$5=0,"",'4. '!T31)</f>
        <v/>
      </c>
      <c r="V247" s="42" t="str">
        <f>+IF($V$5=0,"",'4. '!U31)</f>
        <v/>
      </c>
      <c r="W247" s="42" t="str">
        <f>+IF($W$5=0,"",'4. '!V31)</f>
        <v/>
      </c>
      <c r="X247" s="42" t="str">
        <f>+IF($X$5=0,"",'4. '!W31)</f>
        <v/>
      </c>
      <c r="Y247" s="42" t="str">
        <f>+IF($Y$5=0,"",'4. '!X31)</f>
        <v/>
      </c>
      <c r="Z247" s="42" t="str">
        <f>+IF($Z$5=0,"",'4. '!Y31)</f>
        <v/>
      </c>
      <c r="AA247" s="42" t="str">
        <f>+IF($AA$5=0,"",'4. '!Z31)</f>
        <v/>
      </c>
      <c r="AB247" s="42" t="str">
        <f>+IF($AB$5=0,"",'4. '!AA31)</f>
        <v/>
      </c>
      <c r="AC247" s="42" t="str">
        <f>+IF($AC$5=0,"",'4. '!AB31)</f>
        <v/>
      </c>
      <c r="AD247" s="42" t="str">
        <f>+IF($AD$5=0,"",'4. '!AC31)</f>
        <v/>
      </c>
      <c r="AE247" s="42" t="str">
        <f>+IF($AE$5=0,"",'4. '!AD31)</f>
        <v/>
      </c>
      <c r="AF247" s="42" t="str">
        <f>+IF($AF$5=0,"",'4. '!AE31)</f>
        <v/>
      </c>
      <c r="AG247" s="50" t="e">
        <f t="shared" si="4"/>
        <v>#DIV/0!</v>
      </c>
      <c r="AH247" s="6"/>
      <c r="AI247"/>
      <c r="AJ247"/>
    </row>
    <row r="248" spans="1:36" s="1" customFormat="1" ht="15.75" thickBot="1" x14ac:dyDescent="0.3">
      <c r="A248"/>
      <c r="B248" s="11" t="s">
        <v>74</v>
      </c>
      <c r="C248" s="43" t="str">
        <f>+IF($C$5=0,"",'4. '!B28)</f>
        <v/>
      </c>
      <c r="D248" s="43" t="str">
        <f>+IF($D$5=0,"",'4. '!C28)</f>
        <v/>
      </c>
      <c r="E248" s="43" t="str">
        <f>+IF($E$5=0,"",'4. '!D28)</f>
        <v/>
      </c>
      <c r="F248" s="43" t="str">
        <f>+IF($F$5=0,"",'4. '!E28)</f>
        <v/>
      </c>
      <c r="G248" s="43" t="str">
        <f>+IF($G$5=0,"",'4. '!F28)</f>
        <v/>
      </c>
      <c r="H248" s="43" t="str">
        <f>+IF($H$5=0,"",'4. '!G28)</f>
        <v/>
      </c>
      <c r="I248" s="43" t="str">
        <f>+IF($I$5=0,"",'4. '!H28)</f>
        <v/>
      </c>
      <c r="J248" s="43" t="str">
        <f>+IF($J$5=0,"",'4. '!I28)</f>
        <v/>
      </c>
      <c r="K248" s="43" t="str">
        <f>+IF($K$5=0,"",'4. '!J28)</f>
        <v/>
      </c>
      <c r="L248" s="43" t="str">
        <f>+IF($L$5=0,"",'4. '!K28)</f>
        <v/>
      </c>
      <c r="M248" s="43" t="str">
        <f>+IF($M$5=0,"",'4. '!L28)</f>
        <v/>
      </c>
      <c r="N248" s="43" t="str">
        <f>+IF($N$5=0,"",'4. '!M28)</f>
        <v/>
      </c>
      <c r="O248" s="43" t="str">
        <f>+IF($O$5=0,"",'4. '!N28)</f>
        <v/>
      </c>
      <c r="P248" s="43" t="str">
        <f>+IF($P$5=0,"",'4. '!O28)</f>
        <v/>
      </c>
      <c r="Q248" s="43" t="str">
        <f>+IF($Q$5=0,"",'4. '!P28)</f>
        <v/>
      </c>
      <c r="R248" s="43" t="str">
        <f>+IF($R$5=0,"",'4. '!Q28)</f>
        <v/>
      </c>
      <c r="S248" s="43" t="str">
        <f>+IF($S$5=0,"",'4. '!R28)</f>
        <v/>
      </c>
      <c r="T248" s="43" t="str">
        <f>+IF($T$5=0,"",'4. '!S28)</f>
        <v/>
      </c>
      <c r="U248" s="43" t="str">
        <f>+IF($U$5=0,"",'4. '!T28)</f>
        <v/>
      </c>
      <c r="V248" s="43" t="str">
        <f>+IF($V$5=0,"",'4. '!U28)</f>
        <v/>
      </c>
      <c r="W248" s="43" t="str">
        <f>+IF($W$5=0,"",'4. '!V28)</f>
        <v/>
      </c>
      <c r="X248" s="43" t="str">
        <f>+IF($X$5=0,"",'4. '!W28)</f>
        <v/>
      </c>
      <c r="Y248" s="43" t="str">
        <f>+IF($Y$5=0,"",'4. '!X28)</f>
        <v/>
      </c>
      <c r="Z248" s="43" t="str">
        <f>+IF($Z$5=0,"",'4. '!Y28)</f>
        <v/>
      </c>
      <c r="AA248" s="43" t="str">
        <f>+IF($AA$5=0,"",'4. '!Z28)</f>
        <v/>
      </c>
      <c r="AB248" s="43" t="str">
        <f>+IF($AB$5=0,"",'4. '!AA28)</f>
        <v/>
      </c>
      <c r="AC248" s="43" t="str">
        <f>+IF($AC$5=0,"",'4. '!AB28)</f>
        <v/>
      </c>
      <c r="AD248" s="43" t="str">
        <f>+IF($AD$5=0,"",'4. '!AC28)</f>
        <v/>
      </c>
      <c r="AE248" s="43" t="str">
        <f>+IF($AE$5=0,"",'4. '!AD28)</f>
        <v/>
      </c>
      <c r="AF248" s="43" t="str">
        <f>+IF($AF$5=0,"",'4. '!AE28)</f>
        <v/>
      </c>
      <c r="AG248" s="50" t="e">
        <f t="shared" si="4"/>
        <v>#DIV/0!</v>
      </c>
      <c r="AH248" s="8"/>
      <c r="AI248"/>
      <c r="AJ248"/>
    </row>
  </sheetData>
  <sortState xmlns:xlrd2="http://schemas.microsoft.com/office/spreadsheetml/2017/richdata2" ref="B6:AG248">
    <sortCondition descending="1" ref="AG6:AG248"/>
  </sortState>
  <mergeCells count="3">
    <mergeCell ref="B2:AH2"/>
    <mergeCell ref="C3:AF3"/>
    <mergeCell ref="AH3:AH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AJ248"/>
  <sheetViews>
    <sheetView showGridLines="0" showRowColHeaders="0" zoomScale="90" zoomScaleNormal="90" workbookViewId="0">
      <selection activeCell="AI5" sqref="AI5"/>
    </sheetView>
  </sheetViews>
  <sheetFormatPr baseColWidth="10" defaultRowHeight="15" x14ac:dyDescent="0.25"/>
  <cols>
    <col min="1" max="1" width="4.42578125" customWidth="1"/>
    <col min="2" max="2" width="13.42578125" bestFit="1" customWidth="1"/>
    <col min="3" max="7" width="4.42578125" style="1" bestFit="1" customWidth="1"/>
    <col min="8" max="8" width="4.42578125" style="36" bestFit="1" customWidth="1"/>
    <col min="9" max="9" width="4.42578125" style="1" bestFit="1" customWidth="1"/>
    <col min="10" max="10" width="4.42578125" style="37" bestFit="1" customWidth="1"/>
    <col min="11" max="13" width="4.42578125" style="1" bestFit="1" customWidth="1"/>
    <col min="14" max="14" width="4.42578125" style="37" bestFit="1" customWidth="1"/>
    <col min="15" max="16" width="4.42578125" style="1" bestFit="1" customWidth="1"/>
    <col min="17" max="17" width="4.42578125" style="36" bestFit="1" customWidth="1"/>
    <col min="18" max="26" width="4.42578125" style="1" bestFit="1" customWidth="1"/>
    <col min="27" max="27" width="4.85546875" style="1" customWidth="1"/>
    <col min="28" max="28" width="5" style="1" customWidth="1"/>
    <col min="29" max="29" width="4.7109375" style="1" customWidth="1"/>
    <col min="30" max="30" width="5.140625" style="1" customWidth="1"/>
    <col min="31" max="31" width="4.5703125" style="1" customWidth="1"/>
    <col min="32" max="32" width="5.28515625" style="1" customWidth="1"/>
    <col min="33" max="33" width="16.28515625" style="1" customWidth="1"/>
    <col min="34" max="34" width="8.28515625" customWidth="1"/>
    <col min="35" max="35" width="16.7109375" customWidth="1"/>
  </cols>
  <sheetData>
    <row r="1" spans="2:36" ht="15.75" thickBot="1" x14ac:dyDescent="0.3"/>
    <row r="2" spans="2:36" ht="23.25" customHeight="1" thickBot="1" x14ac:dyDescent="0.35">
      <c r="B2" s="174" t="s">
        <v>49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6"/>
      <c r="AI2" s="177" t="s">
        <v>339</v>
      </c>
    </row>
    <row r="3" spans="2:36" ht="21" customHeight="1" x14ac:dyDescent="0.25">
      <c r="B3" s="133"/>
      <c r="C3" s="171" t="s">
        <v>3</v>
      </c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3"/>
      <c r="AG3" s="135"/>
      <c r="AI3" s="178"/>
      <c r="AJ3" s="65"/>
    </row>
    <row r="4" spans="2:36" ht="15" customHeight="1" thickBot="1" x14ac:dyDescent="0.3">
      <c r="B4" s="133"/>
      <c r="C4" s="127">
        <v>1</v>
      </c>
      <c r="D4" s="128">
        <v>2</v>
      </c>
      <c r="E4" s="128">
        <v>3</v>
      </c>
      <c r="F4" s="128">
        <v>4</v>
      </c>
      <c r="G4" s="128">
        <v>5</v>
      </c>
      <c r="H4" s="128">
        <v>6</v>
      </c>
      <c r="I4" s="128">
        <v>7</v>
      </c>
      <c r="J4" s="128">
        <v>8</v>
      </c>
      <c r="K4" s="128">
        <v>9</v>
      </c>
      <c r="L4" s="128">
        <v>10</v>
      </c>
      <c r="M4" s="128">
        <v>11</v>
      </c>
      <c r="N4" s="128">
        <v>12</v>
      </c>
      <c r="O4" s="128">
        <v>13</v>
      </c>
      <c r="P4" s="128">
        <v>14</v>
      </c>
      <c r="Q4" s="128">
        <v>15</v>
      </c>
      <c r="R4" s="128">
        <v>16</v>
      </c>
      <c r="S4" s="128">
        <v>17</v>
      </c>
      <c r="T4" s="128">
        <v>18</v>
      </c>
      <c r="U4" s="128">
        <v>19</v>
      </c>
      <c r="V4" s="128">
        <v>20</v>
      </c>
      <c r="W4" s="128">
        <v>21</v>
      </c>
      <c r="X4" s="128">
        <v>22</v>
      </c>
      <c r="Y4" s="128">
        <v>23</v>
      </c>
      <c r="Z4" s="128">
        <v>24</v>
      </c>
      <c r="AA4" s="128">
        <v>25</v>
      </c>
      <c r="AB4" s="128">
        <v>26</v>
      </c>
      <c r="AC4" s="128">
        <v>27</v>
      </c>
      <c r="AD4" s="128">
        <v>28</v>
      </c>
      <c r="AE4" s="128">
        <v>29</v>
      </c>
      <c r="AF4" s="129">
        <v>30</v>
      </c>
      <c r="AG4" s="55"/>
      <c r="AI4" s="179"/>
      <c r="AJ4" s="65"/>
    </row>
    <row r="5" spans="2:36" ht="30" customHeight="1" thickBot="1" x14ac:dyDescent="0.3">
      <c r="B5" s="134" t="s">
        <v>50</v>
      </c>
      <c r="C5" s="130">
        <f>+HIPOTESIS!F4</f>
        <v>0</v>
      </c>
      <c r="D5" s="131">
        <f>+HIPOTESIS!F5</f>
        <v>0</v>
      </c>
      <c r="E5" s="131">
        <f>+HIPOTESIS!F6</f>
        <v>0</v>
      </c>
      <c r="F5" s="131">
        <f>+HIPOTESIS!F7</f>
        <v>0</v>
      </c>
      <c r="G5" s="131">
        <f>+HIPOTESIS!F8</f>
        <v>0</v>
      </c>
      <c r="H5" s="131">
        <f>+HIPOTESIS!F9</f>
        <v>0</v>
      </c>
      <c r="I5" s="131">
        <f>+HIPOTESIS!F10</f>
        <v>0</v>
      </c>
      <c r="J5" s="131">
        <f>+HIPOTESIS!F11</f>
        <v>0</v>
      </c>
      <c r="K5" s="131">
        <f>+HIPOTESIS!F12</f>
        <v>0</v>
      </c>
      <c r="L5" s="131">
        <f>+HIPOTESIS!F13</f>
        <v>0</v>
      </c>
      <c r="M5" s="131">
        <f>+HIPOTESIS!F14</f>
        <v>0</v>
      </c>
      <c r="N5" s="131">
        <f>+HIPOTESIS!F15</f>
        <v>0</v>
      </c>
      <c r="O5" s="131">
        <f>+HIPOTESIS!F16</f>
        <v>0</v>
      </c>
      <c r="P5" s="131">
        <f>+HIPOTESIS!F17</f>
        <v>0</v>
      </c>
      <c r="Q5" s="131">
        <f>+HIPOTESIS!F18</f>
        <v>0</v>
      </c>
      <c r="R5" s="131">
        <f>+HIPOTESIS!F19</f>
        <v>0</v>
      </c>
      <c r="S5" s="131">
        <f>+HIPOTESIS!F20</f>
        <v>0</v>
      </c>
      <c r="T5" s="131">
        <f>+HIPOTESIS!F21</f>
        <v>0</v>
      </c>
      <c r="U5" s="131">
        <f>+HIPOTESIS!F22</f>
        <v>0</v>
      </c>
      <c r="V5" s="131">
        <f>+HIPOTESIS!F23</f>
        <v>0</v>
      </c>
      <c r="W5" s="131">
        <f>+HIPOTESIS!F24</f>
        <v>0</v>
      </c>
      <c r="X5" s="131">
        <f>+HIPOTESIS!F25</f>
        <v>0</v>
      </c>
      <c r="Y5" s="131">
        <f>+HIPOTESIS!F26</f>
        <v>0</v>
      </c>
      <c r="Z5" s="131">
        <f>+HIPOTESIS!F27</f>
        <v>0</v>
      </c>
      <c r="AA5" s="131">
        <f>+HIPOTESIS!F28</f>
        <v>0</v>
      </c>
      <c r="AB5" s="131">
        <f>+HIPOTESIS!F29</f>
        <v>0</v>
      </c>
      <c r="AC5" s="131">
        <f>+HIPOTESIS!F30</f>
        <v>0</v>
      </c>
      <c r="AD5" s="131">
        <f>+HIPOTESIS!F31</f>
        <v>0</v>
      </c>
      <c r="AE5" s="131">
        <f>+HIPOTESIS!F32</f>
        <v>0</v>
      </c>
      <c r="AF5" s="132">
        <f>+HIPOTESIS!F33</f>
        <v>0</v>
      </c>
      <c r="AG5" s="136" t="s">
        <v>336</v>
      </c>
      <c r="AI5" s="137">
        <v>5</v>
      </c>
      <c r="AJ5" s="64"/>
    </row>
    <row r="6" spans="2:36" ht="15" customHeight="1" x14ac:dyDescent="0.25">
      <c r="B6" s="61">
        <v>1</v>
      </c>
      <c r="C6" s="102" t="str">
        <f>+VLOOKUP($B$6,EB!$A$6:$AF$20,E4,FALSE)</f>
        <v/>
      </c>
      <c r="D6" s="75" t="str">
        <f>+VLOOKUP($B$6,EB!$A$6:$AF$20,F4,FALSE)</f>
        <v/>
      </c>
      <c r="E6" s="75" t="str">
        <f>+VLOOKUP($B$6,EB!$A$6:$AF$20,G4,FALSE)</f>
        <v/>
      </c>
      <c r="F6" s="75" t="str">
        <f>+VLOOKUP($B$6,EB!$A$6:$AF$20,H4,FALSE)</f>
        <v/>
      </c>
      <c r="G6" s="75" t="str">
        <f>+VLOOKUP($B$6,EB!$A$6:$AF$20,I4,FALSE)</f>
        <v/>
      </c>
      <c r="H6" s="75" t="str">
        <f>+VLOOKUP($B$6,EB!$A$6:$AF$20,J4,FALSE)</f>
        <v/>
      </c>
      <c r="I6" s="75" t="str">
        <f>+VLOOKUP($B$6,EB!$A$6:$AF$20,K4,FALSE)</f>
        <v/>
      </c>
      <c r="J6" s="75" t="str">
        <f>+VLOOKUP($B$6,EB!$A$6:$AF$20,L4,FALSE)</f>
        <v/>
      </c>
      <c r="K6" s="75" t="str">
        <f>+VLOOKUP($B$6,EB!$A$6:$AF$20,M4,FALSE)</f>
        <v/>
      </c>
      <c r="L6" s="75" t="str">
        <f>+VLOOKUP($B$6,EB!$A$6:$AF$20,N4,FALSE)</f>
        <v/>
      </c>
      <c r="M6" s="75" t="str">
        <f>+VLOOKUP($B$6,EB!$A$6:$AF$20,O4,FALSE)</f>
        <v/>
      </c>
      <c r="N6" s="75" t="str">
        <f>+VLOOKUP($B$6,EB!$A$6:$AF$20,P4,FALSE)</f>
        <v/>
      </c>
      <c r="O6" s="75" t="str">
        <f>+VLOOKUP($B$6,EB!$A$6:$AF$20,Q4,FALSE)</f>
        <v/>
      </c>
      <c r="P6" s="75" t="str">
        <f>+VLOOKUP($B$6,EB!$A$6:$AF$20,R4,FALSE)</f>
        <v/>
      </c>
      <c r="Q6" s="75" t="str">
        <f>+VLOOKUP($B$6,EB!$A$6:$AF$20,S4,FALSE)</f>
        <v/>
      </c>
      <c r="R6" s="75" t="str">
        <f>+VLOOKUP($B$6,EB!$A$6:$AF$20,T4,FALSE)</f>
        <v/>
      </c>
      <c r="S6" s="75" t="str">
        <f>+VLOOKUP($B$6,EB!$A$6:$AF$20,U4,FALSE)</f>
        <v/>
      </c>
      <c r="T6" s="75" t="str">
        <f>+VLOOKUP($B$6,EB!$A$6:$AF$20,V4,FALSE)</f>
        <v/>
      </c>
      <c r="U6" s="75" t="str">
        <f>+VLOOKUP($B$6,EB!$A$6:$AF$20,W4,FALSE)</f>
        <v/>
      </c>
      <c r="V6" s="75" t="str">
        <f>+VLOOKUP($B$6,EB!$A$6:$AF$20,X4,FALSE)</f>
        <v/>
      </c>
      <c r="W6" s="75" t="str">
        <f>+VLOOKUP($B$6,EB!$A$6:$AF$20,Y4,FALSE)</f>
        <v/>
      </c>
      <c r="X6" s="75" t="str">
        <f>+VLOOKUP($B$6,EB!$A$6:$AF$20,Z4,FALSE)</f>
        <v/>
      </c>
      <c r="Y6" s="75" t="str">
        <f>+VLOOKUP($B$6,EB!$A$6:$AF$20,AA4,FALSE)</f>
        <v/>
      </c>
      <c r="Z6" s="75" t="str">
        <f>+VLOOKUP($B$6,EB!$A$6:$AF$20,AB4,FALSE)</f>
        <v/>
      </c>
      <c r="AA6" s="75" t="str">
        <f>+VLOOKUP($B$6,EB!$A$6:$AF$20,AC4,FALSE)</f>
        <v/>
      </c>
      <c r="AB6" s="75" t="str">
        <f>+VLOOKUP($B$6,EB!$A$6:$AF$20,AD4,FALSE)</f>
        <v/>
      </c>
      <c r="AC6" s="75" t="str">
        <f>+VLOOKUP($B$6,EB!$A$6:$AF$20,AE4,FALSE)</f>
        <v/>
      </c>
      <c r="AD6" s="75" t="str">
        <f>+VLOOKUP($B$6,EB!$A$6:$AF$20,AF4,FALSE)</f>
        <v/>
      </c>
      <c r="AE6" s="75" t="str">
        <f>+VLOOKUP(B6,EB!$A$6:$AF$20,31,FALSE)</f>
        <v/>
      </c>
      <c r="AF6" s="103" t="str">
        <f>+VLOOKUP(B6,EB!$A$6:$AF$20,32,FALSE)</f>
        <v/>
      </c>
      <c r="AG6" s="56" t="e">
        <f t="shared" ref="AG6:AG14" si="0">+AVERAGEIF(C6:AF6,"=X",$C$5:$AF$5)</f>
        <v>#DIV/0!</v>
      </c>
      <c r="AI6" s="53"/>
      <c r="AJ6" s="64"/>
    </row>
    <row r="7" spans="2:36" x14ac:dyDescent="0.25">
      <c r="B7" s="61">
        <v>2</v>
      </c>
      <c r="C7" s="58" t="str">
        <f>+VLOOKUP($B$7,EB!$A$6:$AF$20,E4,FALSE)</f>
        <v/>
      </c>
      <c r="D7" s="42" t="str">
        <f>+VLOOKUP($B$7,EB!$A$6:$AF$20,F4,FALSE)</f>
        <v/>
      </c>
      <c r="E7" s="42" t="str">
        <f>+VLOOKUP($B$7,EB!$A$6:$AF$20,G4,FALSE)</f>
        <v/>
      </c>
      <c r="F7" s="42" t="str">
        <f>+VLOOKUP($B$7,EB!$A$6:$AF$20,H4,FALSE)</f>
        <v/>
      </c>
      <c r="G7" s="42" t="str">
        <f>+VLOOKUP($B$7,EB!$A$6:$AF$20,I4,FALSE)</f>
        <v/>
      </c>
      <c r="H7" s="42" t="str">
        <f>+VLOOKUP($B$7,EB!$A$6:$AF$20,J4,FALSE)</f>
        <v/>
      </c>
      <c r="I7" s="42" t="str">
        <f>+VLOOKUP($B$7,EB!$A$6:$AF$20,K4,FALSE)</f>
        <v/>
      </c>
      <c r="J7" s="42" t="str">
        <f>+VLOOKUP($B$7,EB!$A$6:$AF$20,L4,FALSE)</f>
        <v/>
      </c>
      <c r="K7" s="42" t="str">
        <f>+VLOOKUP($B$7,EB!$A$6:$AF$20,M4,FALSE)</f>
        <v/>
      </c>
      <c r="L7" s="42" t="str">
        <f>+VLOOKUP($B$7,EB!$A$6:$AF$20,N4,FALSE)</f>
        <v/>
      </c>
      <c r="M7" s="42" t="str">
        <f>+VLOOKUP($B$7,EB!$A$6:$AF$20,O4,FALSE)</f>
        <v/>
      </c>
      <c r="N7" s="42" t="str">
        <f>+VLOOKUP($B$7,EB!$A$6:$AF$20,P4,FALSE)</f>
        <v/>
      </c>
      <c r="O7" s="42" t="str">
        <f>+VLOOKUP($B$7,EB!$A$6:$AF$20,Q4,FALSE)</f>
        <v/>
      </c>
      <c r="P7" s="42" t="str">
        <f>+VLOOKUP($B$7,EB!$A$6:$AF$20,R4,FALSE)</f>
        <v/>
      </c>
      <c r="Q7" s="42" t="str">
        <f>+VLOOKUP($B$7,EB!$A$6:$AF$20,S4,FALSE)</f>
        <v/>
      </c>
      <c r="R7" s="42" t="str">
        <f>+VLOOKUP($B$7,EB!$A$6:$AF$20,T4,FALSE)</f>
        <v/>
      </c>
      <c r="S7" s="42" t="str">
        <f>+VLOOKUP($B$7,EB!$A$6:$AF$20,U4,FALSE)</f>
        <v/>
      </c>
      <c r="T7" s="42" t="str">
        <f>+VLOOKUP($B$7,EB!$A$6:$AF$20,V4,FALSE)</f>
        <v/>
      </c>
      <c r="U7" s="42" t="str">
        <f>+VLOOKUP($B$7,EB!$A$6:$AF$20,W4,FALSE)</f>
        <v/>
      </c>
      <c r="V7" s="42" t="str">
        <f>+VLOOKUP($B$7,EB!$A$6:$AF$20,X4,FALSE)</f>
        <v/>
      </c>
      <c r="W7" s="42" t="str">
        <f>+VLOOKUP($B$7,EB!$A$6:$AF$20,Y4,FALSE)</f>
        <v/>
      </c>
      <c r="X7" s="42" t="str">
        <f>+VLOOKUP($B$7,EB!$A$6:$AF$20,Z4,FALSE)</f>
        <v/>
      </c>
      <c r="Y7" s="42" t="str">
        <f>+VLOOKUP($B$7,EB!$A$6:$AF$20,AA4,FALSE)</f>
        <v/>
      </c>
      <c r="Z7" s="42" t="str">
        <f>+VLOOKUP($B$7,EB!$A$6:$AF$20,AB4,FALSE)</f>
        <v/>
      </c>
      <c r="AA7" s="42" t="str">
        <f>+VLOOKUP($B$7,EB!$A$6:$AF$20,AC4,FALSE)</f>
        <v/>
      </c>
      <c r="AB7" s="42" t="str">
        <f>+VLOOKUP($B$7,EB!$A$6:$AF$20,AD4,FALSE)</f>
        <v/>
      </c>
      <c r="AC7" s="42" t="str">
        <f>+VLOOKUP($B$7,EB!$A$6:$AF$20,AE4,FALSE)</f>
        <v/>
      </c>
      <c r="AD7" s="42" t="str">
        <f>+VLOOKUP($B$7,EB!$A$6:$AF$20,AF4,FALSE)</f>
        <v/>
      </c>
      <c r="AE7" s="42" t="str">
        <f>+VLOOKUP(B7,EB!$A$6:$AF$20,31,FALSE)</f>
        <v/>
      </c>
      <c r="AF7" s="54" t="str">
        <f>+VLOOKUP(B7,EB!$A$6:$AF$20,32,FALSE)</f>
        <v/>
      </c>
      <c r="AG7" s="56" t="e">
        <f t="shared" si="0"/>
        <v>#DIV/0!</v>
      </c>
      <c r="AI7" s="53"/>
    </row>
    <row r="8" spans="2:36" x14ac:dyDescent="0.25">
      <c r="B8" s="61">
        <v>3</v>
      </c>
      <c r="C8" s="58" t="str">
        <f>+VLOOKUP($B$8,EB!$A$6:$AF$20,E4,FALSE)</f>
        <v/>
      </c>
      <c r="D8" s="42" t="str">
        <f>+VLOOKUP($B$8,EB!$A$6:$AF$20,F4,FALSE)</f>
        <v/>
      </c>
      <c r="E8" s="42" t="str">
        <f>+VLOOKUP($B$8,EB!$A$6:$AF$20,G4,FALSE)</f>
        <v/>
      </c>
      <c r="F8" s="42" t="str">
        <f>+VLOOKUP($B$8,EB!$A$6:$AF$20,H4,FALSE)</f>
        <v/>
      </c>
      <c r="G8" s="42" t="str">
        <f>+VLOOKUP($B$8,EB!$A$6:$AF$20,I4,FALSE)</f>
        <v/>
      </c>
      <c r="H8" s="42" t="str">
        <f>+VLOOKUP($B$8,EB!$A$6:$AF$20,J4,FALSE)</f>
        <v/>
      </c>
      <c r="I8" s="42" t="str">
        <f>+VLOOKUP($B$8,EB!$A$6:$AF$20,K4,FALSE)</f>
        <v/>
      </c>
      <c r="J8" s="42" t="str">
        <f>+VLOOKUP($B$8,EB!$A$6:$AF$20,L4,FALSE)</f>
        <v/>
      </c>
      <c r="K8" s="42" t="str">
        <f>+VLOOKUP($B$8,EB!$A$6:$AF$20,M4,FALSE)</f>
        <v/>
      </c>
      <c r="L8" s="42" t="str">
        <f>+VLOOKUP($B$8,EB!$A$6:$AF$20,N4,FALSE)</f>
        <v/>
      </c>
      <c r="M8" s="42" t="str">
        <f>+VLOOKUP($B$8,EB!$A$6:$AF$20,O4,FALSE)</f>
        <v/>
      </c>
      <c r="N8" s="42" t="str">
        <f>+VLOOKUP($B$8,EB!$A$6:$AF$20,P4,FALSE)</f>
        <v/>
      </c>
      <c r="O8" s="42" t="str">
        <f>+VLOOKUP($B$8,EB!$A$6:$AF$20,Q4,FALSE)</f>
        <v/>
      </c>
      <c r="P8" s="42" t="str">
        <f>+VLOOKUP($B$8,EB!$A$6:$AF$20,R4,FALSE)</f>
        <v/>
      </c>
      <c r="Q8" s="42" t="str">
        <f>+VLOOKUP($B$8,EB!$A$6:$AF$20,S4,FALSE)</f>
        <v/>
      </c>
      <c r="R8" s="42" t="str">
        <f>+VLOOKUP($B$8,EB!$A$6:$AF$20,T4,FALSE)</f>
        <v/>
      </c>
      <c r="S8" s="42" t="str">
        <f>+VLOOKUP($B$8,EB!$A$6:$AF$20,U4,FALSE)</f>
        <v/>
      </c>
      <c r="T8" s="42" t="str">
        <f>+VLOOKUP($B$8,EB!$A$6:$AF$20,V4,FALSE)</f>
        <v/>
      </c>
      <c r="U8" s="42" t="str">
        <f>+VLOOKUP($B$8,EB!$A$6:$AF$20,W4,FALSE)</f>
        <v/>
      </c>
      <c r="V8" s="42" t="str">
        <f>+VLOOKUP($B$8,EB!$A$6:$AF$20,X4,FALSE)</f>
        <v/>
      </c>
      <c r="W8" s="42" t="str">
        <f>+VLOOKUP($B$8,EB!$A$6:$AF$20,Y4,FALSE)</f>
        <v/>
      </c>
      <c r="X8" s="42" t="str">
        <f>+VLOOKUP($B$8,EB!$A$6:$AF$20,Z4,FALSE)</f>
        <v/>
      </c>
      <c r="Y8" s="42" t="str">
        <f>+VLOOKUP($B$8,EB!$A$6:$AF$20,AA4,FALSE)</f>
        <v/>
      </c>
      <c r="Z8" s="42" t="str">
        <f>+VLOOKUP($B$8,EB!$A$6:$AF$20,AB4,FALSE)</f>
        <v/>
      </c>
      <c r="AA8" s="42" t="str">
        <f>+VLOOKUP($B$8,EB!$A$6:$AF$20,AC4,FALSE)</f>
        <v/>
      </c>
      <c r="AB8" s="42" t="str">
        <f>+VLOOKUP($B$8,EB!$A$6:$AF$20,AD4,FALSE)</f>
        <v/>
      </c>
      <c r="AC8" s="42" t="str">
        <f>+VLOOKUP($B$8,EB!$A$6:$AF$20,AE4,FALSE)</f>
        <v/>
      </c>
      <c r="AD8" s="42" t="str">
        <f>+VLOOKUP($B$8,EB!$A$6:$AF$20,AF4,FALSE)</f>
        <v/>
      </c>
      <c r="AE8" s="42" t="str">
        <f>+VLOOKUP(B8,EB!$A$6:$AF$20,31,FALSE)</f>
        <v/>
      </c>
      <c r="AF8" s="54" t="str">
        <f>+VLOOKUP(B8,EB!$A$6:$AF$20,32,FALSE)</f>
        <v/>
      </c>
      <c r="AG8" s="56" t="e">
        <f t="shared" si="0"/>
        <v>#DIV/0!</v>
      </c>
    </row>
    <row r="9" spans="2:36" x14ac:dyDescent="0.25">
      <c r="B9" s="61">
        <v>4</v>
      </c>
      <c r="C9" s="58" t="str">
        <f>+VLOOKUP($B$9,EB!$A$6:$AF$20,E4,FALSE)</f>
        <v/>
      </c>
      <c r="D9" s="42" t="str">
        <f>+VLOOKUP($B$9,EB!$A$6:$AF$20,F4,FALSE)</f>
        <v/>
      </c>
      <c r="E9" s="42" t="str">
        <f>+VLOOKUP($B$9,EB!$A$6:$AF$20,G4,FALSE)</f>
        <v/>
      </c>
      <c r="F9" s="42" t="str">
        <f>+VLOOKUP($B$9,EB!$A$6:$AF$20,H4,FALSE)</f>
        <v/>
      </c>
      <c r="G9" s="42" t="str">
        <f>+VLOOKUP($B$9,EB!$A$6:$AF$20,I4,FALSE)</f>
        <v/>
      </c>
      <c r="H9" s="42" t="str">
        <f>+VLOOKUP($B$9,EB!$A$6:$AF$20,J4,FALSE)</f>
        <v/>
      </c>
      <c r="I9" s="42" t="str">
        <f>+VLOOKUP($B$9,EB!$A$6:$AF$20,K4,FALSE)</f>
        <v/>
      </c>
      <c r="J9" s="42" t="str">
        <f>+VLOOKUP($B$9,EB!$A$6:$AF$20,L4,FALSE)</f>
        <v/>
      </c>
      <c r="K9" s="42" t="str">
        <f>+VLOOKUP($B$9,EB!$A$6:$AF$20,M4,FALSE)</f>
        <v/>
      </c>
      <c r="L9" s="42" t="str">
        <f>+VLOOKUP($B$9,EB!$A$6:$AF$20,N4,FALSE)</f>
        <v/>
      </c>
      <c r="M9" s="42" t="str">
        <f>+VLOOKUP($B$9,EB!$A$6:$AF$20,O4,FALSE)</f>
        <v/>
      </c>
      <c r="N9" s="42" t="str">
        <f>+VLOOKUP($B$9,EB!$A$6:$AF$20,P4,FALSE)</f>
        <v/>
      </c>
      <c r="O9" s="42" t="str">
        <f>+VLOOKUP($B$9,EB!$A$6:$AF$20,Q4,FALSE)</f>
        <v/>
      </c>
      <c r="P9" s="42" t="str">
        <f>+VLOOKUP($B$9,EB!$A$6:$AF$20,R4,FALSE)</f>
        <v/>
      </c>
      <c r="Q9" s="42" t="str">
        <f>+VLOOKUP($B$9,EB!$A$6:$AF$20,S4,FALSE)</f>
        <v/>
      </c>
      <c r="R9" s="42" t="str">
        <f>+VLOOKUP($B$9,EB!$A$6:$AF$20,T4,FALSE)</f>
        <v/>
      </c>
      <c r="S9" s="42" t="str">
        <f>+VLOOKUP($B$9,EB!$A$6:$AF$20,U4,FALSE)</f>
        <v/>
      </c>
      <c r="T9" s="42" t="str">
        <f>+VLOOKUP($B$9,EB!$A$6:$AF$20,V4,FALSE)</f>
        <v/>
      </c>
      <c r="U9" s="42" t="str">
        <f>+VLOOKUP($B$9,EB!$A$6:$AF$20,W4,FALSE)</f>
        <v/>
      </c>
      <c r="V9" s="42" t="str">
        <f>+VLOOKUP($B$9,EB!$A$6:$AF$20,X4,FALSE)</f>
        <v/>
      </c>
      <c r="W9" s="42" t="str">
        <f>+VLOOKUP($B$9,EB!$A$6:$AF$20,Y4,FALSE)</f>
        <v/>
      </c>
      <c r="X9" s="42" t="str">
        <f>+VLOOKUP($B$9,EB!$A$6:$AF$20,Z4,FALSE)</f>
        <v/>
      </c>
      <c r="Y9" s="42" t="str">
        <f>+VLOOKUP($B$9,EB!$A$6:$AF$20,AA4,FALSE)</f>
        <v/>
      </c>
      <c r="Z9" s="42" t="str">
        <f>+VLOOKUP($B$9,EB!$A$6:$AF$20,AB4,FALSE)</f>
        <v/>
      </c>
      <c r="AA9" s="42" t="str">
        <f>+VLOOKUP($B$9,EB!$A$6:$AF$20,AC4,FALSE)</f>
        <v/>
      </c>
      <c r="AB9" s="42" t="str">
        <f>+VLOOKUP($B$9,EB!$A$6:$AF$20,AD4,FALSE)</f>
        <v/>
      </c>
      <c r="AC9" s="42" t="str">
        <f>+VLOOKUP($B$9,EB!$A$6:$AF$20,AE4,FALSE)</f>
        <v/>
      </c>
      <c r="AD9" s="42" t="str">
        <f>+VLOOKUP($B$9,EB!$A$6:$AF$20,AF4,FALSE)</f>
        <v/>
      </c>
      <c r="AE9" s="42" t="str">
        <f>+VLOOKUP(B9,EB!$A$6:$AF$20,31,FALSE)</f>
        <v/>
      </c>
      <c r="AF9" s="54" t="str">
        <f>+VLOOKUP(B9,EB!$A$6:$AF$20,32,FALSE)</f>
        <v/>
      </c>
      <c r="AG9" s="56" t="e">
        <f t="shared" si="0"/>
        <v>#DIV/0!</v>
      </c>
    </row>
    <row r="10" spans="2:36" x14ac:dyDescent="0.25">
      <c r="B10" s="61">
        <v>5</v>
      </c>
      <c r="C10" s="58" t="str">
        <f>+VLOOKUP($B$10,EB!$A$6:$AF$20,E4,FALSE)</f>
        <v/>
      </c>
      <c r="D10" s="42" t="str">
        <f>+VLOOKUP($B$10,EB!$A$6:$AF$20,F4,FALSE)</f>
        <v/>
      </c>
      <c r="E10" s="42" t="str">
        <f>+VLOOKUP($B$10,EB!$A$6:$AF$20,G4,FALSE)</f>
        <v/>
      </c>
      <c r="F10" s="42" t="str">
        <f>+VLOOKUP($B$10,EB!$A$6:$AF$20,H4,FALSE)</f>
        <v/>
      </c>
      <c r="G10" s="42" t="str">
        <f>+VLOOKUP($B$10,EB!$A$6:$AF$20,I4,FALSE)</f>
        <v/>
      </c>
      <c r="H10" s="42" t="str">
        <f>+VLOOKUP($B$10,EB!$A$6:$AF$20,J4,FALSE)</f>
        <v/>
      </c>
      <c r="I10" s="42" t="str">
        <f>+VLOOKUP($B$10,EB!$A$6:$AF$20,K4,FALSE)</f>
        <v/>
      </c>
      <c r="J10" s="42" t="str">
        <f>+VLOOKUP($B$10,EB!$A$6:$AF$20,L4,FALSE)</f>
        <v/>
      </c>
      <c r="K10" s="42" t="str">
        <f>+VLOOKUP($B$10,EB!$A$6:$AF$20,M4,FALSE)</f>
        <v/>
      </c>
      <c r="L10" s="42" t="str">
        <f>+VLOOKUP($B$10,EB!$A$6:$AF$20,N4,FALSE)</f>
        <v/>
      </c>
      <c r="M10" s="42" t="str">
        <f>+VLOOKUP($B$10,EB!$A$6:$AF$20,O4,FALSE)</f>
        <v/>
      </c>
      <c r="N10" s="42" t="str">
        <f>+VLOOKUP($B$10,EB!$A$6:$AF$20,P4,FALSE)</f>
        <v/>
      </c>
      <c r="O10" s="42" t="str">
        <f>+VLOOKUP($B$10,EB!$A$6:$AF$20,Q4,FALSE)</f>
        <v/>
      </c>
      <c r="P10" s="42" t="str">
        <f>+VLOOKUP($B$10,EB!$A$6:$AF$20,R4,FALSE)</f>
        <v/>
      </c>
      <c r="Q10" s="42" t="str">
        <f>+VLOOKUP($B$10,EB!$A$6:$AF$20,S4,FALSE)</f>
        <v/>
      </c>
      <c r="R10" s="42" t="str">
        <f>+VLOOKUP($B$10,EB!$A$6:$AF$20,T4,FALSE)</f>
        <v/>
      </c>
      <c r="S10" s="42" t="str">
        <f>+VLOOKUP($B$10,EB!$A$6:$AF$20,U4,FALSE)</f>
        <v/>
      </c>
      <c r="T10" s="42" t="str">
        <f>+VLOOKUP($B$10,EB!$A$6:$AF$20,V4,FALSE)</f>
        <v/>
      </c>
      <c r="U10" s="42" t="str">
        <f>+VLOOKUP($B$10,EB!$A$6:$AF$20,W4,FALSE)</f>
        <v/>
      </c>
      <c r="V10" s="42" t="str">
        <f>+VLOOKUP($B$10,EB!$A$6:$AF$20,X4,FALSE)</f>
        <v/>
      </c>
      <c r="W10" s="42" t="str">
        <f>+VLOOKUP($B$10,EB!$A$6:$AF$20,Y4,FALSE)</f>
        <v/>
      </c>
      <c r="X10" s="42" t="str">
        <f>+VLOOKUP($B$10,EB!$A$6:$AF$20,Z4,FALSE)</f>
        <v/>
      </c>
      <c r="Y10" s="42" t="str">
        <f>+VLOOKUP($B$10,EB!$A$6:$AF$20,AA4,FALSE)</f>
        <v/>
      </c>
      <c r="Z10" s="42" t="str">
        <f>+VLOOKUP($B$10,EB!$A$6:$AF$20,AB4,FALSE)</f>
        <v/>
      </c>
      <c r="AA10" s="42" t="str">
        <f>+VLOOKUP($B$10,EB!$A$6:$AF$20,AC4,FALSE)</f>
        <v/>
      </c>
      <c r="AB10" s="42" t="str">
        <f>+VLOOKUP($B$10,EB!$A$6:$AF$20,AD4,FALSE)</f>
        <v/>
      </c>
      <c r="AC10" s="42" t="str">
        <f>+VLOOKUP($B$10,EB!$A$6:$AF$20,AE4,FALSE)</f>
        <v/>
      </c>
      <c r="AD10" s="42" t="str">
        <f>+VLOOKUP($B$10,EB!$A$6:$AF$20,AF4,FALSE)</f>
        <v/>
      </c>
      <c r="AE10" s="42" t="str">
        <f>+VLOOKUP(B10,EB!$A$6:$AF$20,31,FALSE)</f>
        <v/>
      </c>
      <c r="AF10" s="54" t="str">
        <f>+VLOOKUP(B10,EB!$A$6:$AF$20,32,FALSE)</f>
        <v/>
      </c>
      <c r="AG10" s="56" t="e">
        <f t="shared" si="0"/>
        <v>#DIV/0!</v>
      </c>
    </row>
    <row r="11" spans="2:36" x14ac:dyDescent="0.25">
      <c r="B11" s="61">
        <v>6</v>
      </c>
      <c r="C11" s="58" t="str">
        <f>+VLOOKUP($B$11,EB!$A$6:$AF$20,E4,FALSE)</f>
        <v/>
      </c>
      <c r="D11" s="42" t="str">
        <f>+VLOOKUP($B$11,EB!$A$6:$AF$20,F4,FALSE)</f>
        <v/>
      </c>
      <c r="E11" s="42" t="str">
        <f>+VLOOKUP($B$11,EB!$A$6:$AF$20,G4,FALSE)</f>
        <v/>
      </c>
      <c r="F11" s="42" t="str">
        <f>+VLOOKUP($B$11,EB!$A$6:$AF$20,H4,FALSE)</f>
        <v/>
      </c>
      <c r="G11" s="42" t="str">
        <f>+VLOOKUP($B$11,EB!$A$6:$AF$20,I4,FALSE)</f>
        <v/>
      </c>
      <c r="H11" s="42" t="str">
        <f>+VLOOKUP($B$11,EB!$A$6:$AF$20,J4,FALSE)</f>
        <v/>
      </c>
      <c r="I11" s="42" t="str">
        <f>+VLOOKUP($B$11,EB!$A$6:$AF$20,K4,FALSE)</f>
        <v/>
      </c>
      <c r="J11" s="42" t="str">
        <f>+VLOOKUP($B$11,EB!$A$6:$AF$20,L4,FALSE)</f>
        <v/>
      </c>
      <c r="K11" s="42" t="str">
        <f>+VLOOKUP($B$11,EB!$A$6:$AF$20,M4,FALSE)</f>
        <v/>
      </c>
      <c r="L11" s="42" t="str">
        <f>+VLOOKUP($B$11,EB!$A$6:$AF$20,N4,FALSE)</f>
        <v/>
      </c>
      <c r="M11" s="42" t="str">
        <f>+VLOOKUP($B$11,EB!$A$6:$AF$20,O4,FALSE)</f>
        <v/>
      </c>
      <c r="N11" s="42" t="str">
        <f>+VLOOKUP($B$11,EB!$A$6:$AF$20,P4,FALSE)</f>
        <v/>
      </c>
      <c r="O11" s="42" t="str">
        <f>+VLOOKUP($B$11,EB!$A$6:$AF$20,Q4,FALSE)</f>
        <v/>
      </c>
      <c r="P11" s="42" t="str">
        <f>+VLOOKUP($B$11,EB!$A$6:$AF$20,R4,FALSE)</f>
        <v/>
      </c>
      <c r="Q11" s="42" t="str">
        <f>+VLOOKUP($B$11,EB!$A$6:$AF$20,S4,FALSE)</f>
        <v/>
      </c>
      <c r="R11" s="42" t="str">
        <f>+VLOOKUP($B$11,EB!$A$6:$AF$20,T4,FALSE)</f>
        <v/>
      </c>
      <c r="S11" s="42" t="str">
        <f>+VLOOKUP($B$11,EB!$A$6:$AF$20,U4,FALSE)</f>
        <v/>
      </c>
      <c r="T11" s="42" t="str">
        <f>+VLOOKUP($B$11,EB!$A$6:$AF$20,V4,FALSE)</f>
        <v/>
      </c>
      <c r="U11" s="42" t="str">
        <f>+VLOOKUP($B$11,EB!$A$6:$AF$20,W4,FALSE)</f>
        <v/>
      </c>
      <c r="V11" s="42" t="str">
        <f>+VLOOKUP($B$11,EB!$A$6:$AF$20,X4,FALSE)</f>
        <v/>
      </c>
      <c r="W11" s="42" t="str">
        <f>+VLOOKUP($B$11,EB!$A$6:$AF$20,Y4,FALSE)</f>
        <v/>
      </c>
      <c r="X11" s="42" t="str">
        <f>+VLOOKUP($B$11,EB!$A$6:$AF$20,Z4,FALSE)</f>
        <v/>
      </c>
      <c r="Y11" s="42" t="str">
        <f>+VLOOKUP($B$11,EB!$A$6:$AF$20,AA4,FALSE)</f>
        <v/>
      </c>
      <c r="Z11" s="42" t="str">
        <f>+VLOOKUP($B$11,EB!$A$6:$AF$20,AB4,FALSE)</f>
        <v/>
      </c>
      <c r="AA11" s="42" t="str">
        <f>+VLOOKUP($B$11,EB!$A$6:$AF$20,AC4,FALSE)</f>
        <v/>
      </c>
      <c r="AB11" s="42" t="str">
        <f>+VLOOKUP($B$11,EB!$A$6:$AF$20,AD4,FALSE)</f>
        <v/>
      </c>
      <c r="AC11" s="42" t="str">
        <f>+VLOOKUP($B$11,EB!$A$6:$AF$20,AE4,FALSE)</f>
        <v/>
      </c>
      <c r="AD11" s="42" t="str">
        <f>+VLOOKUP($B$11,EB!$A$6:$AF$20,AF4,FALSE)</f>
        <v/>
      </c>
      <c r="AE11" s="42" t="str">
        <f>+VLOOKUP(B11,EB!$A$6:$AF$20,31,FALSE)</f>
        <v/>
      </c>
      <c r="AF11" s="54" t="str">
        <f>+VLOOKUP(B11,EB!$A$6:$AF$20,32,FALSE)</f>
        <v/>
      </c>
      <c r="AG11" s="56" t="e">
        <f t="shared" si="0"/>
        <v>#DIV/0!</v>
      </c>
    </row>
    <row r="12" spans="2:36" x14ac:dyDescent="0.25">
      <c r="B12" s="61">
        <v>7</v>
      </c>
      <c r="C12" s="58" t="str">
        <f>+VLOOKUP($B$12,EB!$A$6:$AF$20,E4,FALSE)</f>
        <v/>
      </c>
      <c r="D12" s="42" t="str">
        <f>+VLOOKUP($B$12,EB!$A$6:$AF$20,F4,FALSE)</f>
        <v/>
      </c>
      <c r="E12" s="42" t="str">
        <f>+VLOOKUP($B$12,EB!$A$6:$AF$20,G4,FALSE)</f>
        <v/>
      </c>
      <c r="F12" s="42" t="str">
        <f>+VLOOKUP($B$12,EB!$A$6:$AF$20,H4,FALSE)</f>
        <v/>
      </c>
      <c r="G12" s="42" t="str">
        <f>+VLOOKUP($B$12,EB!$A$6:$AF$20,I4,FALSE)</f>
        <v/>
      </c>
      <c r="H12" s="42" t="str">
        <f>+VLOOKUP($B$12,EB!$A$6:$AF$20,J4,FALSE)</f>
        <v/>
      </c>
      <c r="I12" s="42" t="str">
        <f>+VLOOKUP($B$12,EB!$A$6:$AF$20,K4,FALSE)</f>
        <v/>
      </c>
      <c r="J12" s="42" t="str">
        <f>+VLOOKUP($B$12,EB!$A$6:$AF$20,L4,FALSE)</f>
        <v/>
      </c>
      <c r="K12" s="42" t="str">
        <f>+VLOOKUP($B$12,EB!$A$6:$AF$20,M4,FALSE)</f>
        <v/>
      </c>
      <c r="L12" s="42" t="str">
        <f>+VLOOKUP($B$12,EB!$A$6:$AF$20,N4,FALSE)</f>
        <v/>
      </c>
      <c r="M12" s="42" t="str">
        <f>+VLOOKUP($B$12,EB!$A$6:$AF$20,O4,FALSE)</f>
        <v/>
      </c>
      <c r="N12" s="42" t="str">
        <f>+VLOOKUP($B$12,EB!$A$6:$AF$20,P4,FALSE)</f>
        <v/>
      </c>
      <c r="O12" s="42" t="str">
        <f>+VLOOKUP($B$12,EB!$A$6:$AF$20,Q4,FALSE)</f>
        <v/>
      </c>
      <c r="P12" s="42" t="str">
        <f>+VLOOKUP($B$12,EB!$A$6:$AF$20,R4,FALSE)</f>
        <v/>
      </c>
      <c r="Q12" s="42" t="str">
        <f>+VLOOKUP($B$12,EB!$A$6:$AF$20,S4,FALSE)</f>
        <v/>
      </c>
      <c r="R12" s="42" t="str">
        <f>+VLOOKUP($B$12,EB!$A$6:$AF$20,T4,FALSE)</f>
        <v/>
      </c>
      <c r="S12" s="42" t="str">
        <f>+VLOOKUP($B$12,EB!$A$6:$AF$20,U4,FALSE)</f>
        <v/>
      </c>
      <c r="T12" s="42" t="str">
        <f>+VLOOKUP($B$12,EB!$A$6:$AF$20,V4,FALSE)</f>
        <v/>
      </c>
      <c r="U12" s="42" t="str">
        <f>+VLOOKUP($B$12,EB!$A$6:$AF$20,W4,FALSE)</f>
        <v/>
      </c>
      <c r="V12" s="42" t="str">
        <f>+VLOOKUP($B$12,EB!$A$6:$AF$20,X4,FALSE)</f>
        <v/>
      </c>
      <c r="W12" s="42" t="str">
        <f>+VLOOKUP($B$12,EB!$A$6:$AF$20,Y4,FALSE)</f>
        <v/>
      </c>
      <c r="X12" s="42" t="str">
        <f>+VLOOKUP($B$12,EB!$A$6:$AF$20,Z4,FALSE)</f>
        <v/>
      </c>
      <c r="Y12" s="42" t="str">
        <f>+VLOOKUP($B$12,EB!$A$6:$AF$20,AA4,FALSE)</f>
        <v/>
      </c>
      <c r="Z12" s="42" t="str">
        <f>+VLOOKUP($B$12,EB!$A$6:$AF$20,AB4,FALSE)</f>
        <v/>
      </c>
      <c r="AA12" s="42" t="str">
        <f>+VLOOKUP($B$12,EB!$A$6:$AF$20,AC4,FALSE)</f>
        <v/>
      </c>
      <c r="AB12" s="42" t="str">
        <f>+VLOOKUP($B$12,EB!$A$6:$AF$20,AD4,FALSE)</f>
        <v/>
      </c>
      <c r="AC12" s="42" t="str">
        <f>+VLOOKUP($B$12,EB!$A$6:$AF$20,AE4,FALSE)</f>
        <v/>
      </c>
      <c r="AD12" s="42" t="str">
        <f>+VLOOKUP($B$12,EB!$A$6:$AF$20,AF4,FALSE)</f>
        <v/>
      </c>
      <c r="AE12" s="42" t="str">
        <f>+VLOOKUP(B12,EB!$A$6:$AF$20,31,FALSE)</f>
        <v/>
      </c>
      <c r="AF12" s="54" t="str">
        <f>+VLOOKUP(B12,EB!$A$6:$AF$20,32,FALSE)</f>
        <v/>
      </c>
      <c r="AG12" s="56" t="e">
        <f t="shared" si="0"/>
        <v>#DIV/0!</v>
      </c>
    </row>
    <row r="13" spans="2:36" x14ac:dyDescent="0.25">
      <c r="B13" s="61">
        <v>8</v>
      </c>
      <c r="C13" s="58" t="str">
        <f>+VLOOKUP($B$13,EB!$A$6:$AF$20,E4,FALSE)</f>
        <v/>
      </c>
      <c r="D13" s="42" t="str">
        <f>+VLOOKUP($B$13,EB!$A$6:$AF$20,F4,FALSE)</f>
        <v/>
      </c>
      <c r="E13" s="42" t="str">
        <f>+VLOOKUP($B$13,EB!$A$6:$AF$20,G4,FALSE)</f>
        <v/>
      </c>
      <c r="F13" s="42" t="str">
        <f>+VLOOKUP($B$13,EB!$A$6:$AF$20,H4,FALSE)</f>
        <v/>
      </c>
      <c r="G13" s="42" t="str">
        <f>+VLOOKUP($B$13,EB!$A$6:$AF$20,I4,FALSE)</f>
        <v/>
      </c>
      <c r="H13" s="42" t="str">
        <f>+VLOOKUP($B$13,EB!$A$6:$AF$20,J4,FALSE)</f>
        <v/>
      </c>
      <c r="I13" s="42" t="str">
        <f>+VLOOKUP($B$13,EB!$A$6:$AF$20,K4,FALSE)</f>
        <v/>
      </c>
      <c r="J13" s="42" t="str">
        <f>+VLOOKUP($B$13,EB!$A$6:$AF$20,L4,FALSE)</f>
        <v/>
      </c>
      <c r="K13" s="42" t="str">
        <f>+VLOOKUP($B$13,EB!$A$6:$AF$20,M4,FALSE)</f>
        <v/>
      </c>
      <c r="L13" s="42" t="str">
        <f>+VLOOKUP($B$13,EB!$A$6:$AF$20,N4,FALSE)</f>
        <v/>
      </c>
      <c r="M13" s="42" t="str">
        <f>+VLOOKUP($B$13,EB!$A$6:$AF$20,O4,FALSE)</f>
        <v/>
      </c>
      <c r="N13" s="42" t="str">
        <f>+VLOOKUP($B$13,EB!$A$6:$AF$20,P4,FALSE)</f>
        <v/>
      </c>
      <c r="O13" s="42" t="str">
        <f>+VLOOKUP($B$13,EB!$A$6:$AF$20,Q4,FALSE)</f>
        <v/>
      </c>
      <c r="P13" s="42" t="str">
        <f>+VLOOKUP($B$13,EB!$A$6:$AF$20,R4,FALSE)</f>
        <v/>
      </c>
      <c r="Q13" s="42" t="str">
        <f>+VLOOKUP($B$13,EB!$A$6:$AF$20,S4,FALSE)</f>
        <v/>
      </c>
      <c r="R13" s="42" t="str">
        <f>+VLOOKUP($B$13,EB!$A$6:$AF$20,T4,FALSE)</f>
        <v/>
      </c>
      <c r="S13" s="42" t="str">
        <f>+VLOOKUP($B$13,EB!$A$6:$AF$20,U4,FALSE)</f>
        <v/>
      </c>
      <c r="T13" s="42" t="str">
        <f>+VLOOKUP($B$13,EB!$A$6:$AF$20,V4,FALSE)</f>
        <v/>
      </c>
      <c r="U13" s="42" t="str">
        <f>+VLOOKUP($B$13,EB!$A$6:$AF$20,W4,FALSE)</f>
        <v/>
      </c>
      <c r="V13" s="42" t="str">
        <f>+VLOOKUP($B$13,EB!$A$6:$AF$20,X4,FALSE)</f>
        <v/>
      </c>
      <c r="W13" s="42" t="str">
        <f>+VLOOKUP($B$13,EB!$A$6:$AF$20,Y4,FALSE)</f>
        <v/>
      </c>
      <c r="X13" s="42" t="str">
        <f>+VLOOKUP($B$13,EB!$A$6:$AF$20,Z4,FALSE)</f>
        <v/>
      </c>
      <c r="Y13" s="42" t="str">
        <f>+VLOOKUP($B$13,EB!$A$6:$AF$20,AA4,FALSE)</f>
        <v/>
      </c>
      <c r="Z13" s="42" t="str">
        <f>+VLOOKUP($B$13,EB!$A$6:$AF$20,AB4,FALSE)</f>
        <v/>
      </c>
      <c r="AA13" s="42" t="str">
        <f>+VLOOKUP($B$13,EB!$A$6:$AF$20,AC4,FALSE)</f>
        <v/>
      </c>
      <c r="AB13" s="42" t="str">
        <f>+VLOOKUP($B$13,EB!$A$6:$AF$20,AD4,FALSE)</f>
        <v/>
      </c>
      <c r="AC13" s="42" t="str">
        <f>+VLOOKUP($B$13,EB!$A$6:$AF$20,AE4,FALSE)</f>
        <v/>
      </c>
      <c r="AD13" s="42" t="str">
        <f>+VLOOKUP($B$13,EB!$A$6:$AF$20,AF4,FALSE)</f>
        <v/>
      </c>
      <c r="AE13" s="42" t="str">
        <f>+VLOOKUP(B13,EB!$A$6:$AF$20,31,FALSE)</f>
        <v/>
      </c>
      <c r="AF13" s="54" t="str">
        <f>+VLOOKUP(B13,EB!$A$6:$AF$20,32,FALSE)</f>
        <v/>
      </c>
      <c r="AG13" s="56" t="e">
        <f t="shared" si="0"/>
        <v>#DIV/0!</v>
      </c>
    </row>
    <row r="14" spans="2:36" x14ac:dyDescent="0.25">
      <c r="B14" s="61">
        <v>9</v>
      </c>
      <c r="C14" s="58" t="str">
        <f>+VLOOKUP($B$14,EB!$A$6:$AF$20,E4,FALSE)</f>
        <v/>
      </c>
      <c r="D14" s="42" t="str">
        <f>+VLOOKUP($B$14,EB!$A$6:$AF$20,F4,FALSE)</f>
        <v/>
      </c>
      <c r="E14" s="42" t="str">
        <f>+VLOOKUP($B$14,EB!$A$6:$AF$20,G4,FALSE)</f>
        <v/>
      </c>
      <c r="F14" s="42" t="str">
        <f>+VLOOKUP($B$14,EB!$A$6:$AF$20,H4,FALSE)</f>
        <v/>
      </c>
      <c r="G14" s="42" t="str">
        <f>+VLOOKUP($B$14,EB!$A$6:$AF$20,I4,FALSE)</f>
        <v/>
      </c>
      <c r="H14" s="42" t="str">
        <f>+VLOOKUP($B$14,EB!$A$6:$AF$20,J4,FALSE)</f>
        <v/>
      </c>
      <c r="I14" s="42" t="str">
        <f>+VLOOKUP($B$14,EB!$A$6:$AF$20,K4,FALSE)</f>
        <v/>
      </c>
      <c r="J14" s="42" t="str">
        <f>+VLOOKUP($B$14,EB!$A$6:$AF$20,L4,FALSE)</f>
        <v/>
      </c>
      <c r="K14" s="42" t="str">
        <f>+VLOOKUP($B$14,EB!$A$6:$AF$20,M4,FALSE)</f>
        <v/>
      </c>
      <c r="L14" s="42" t="str">
        <f>+VLOOKUP($B$14,EB!$A$6:$AF$20,N4,FALSE)</f>
        <v/>
      </c>
      <c r="M14" s="42" t="str">
        <f>+VLOOKUP($B$14,EB!$A$6:$AF$20,O4,FALSE)</f>
        <v/>
      </c>
      <c r="N14" s="42" t="str">
        <f>+VLOOKUP($B$14,EB!$A$6:$AF$20,P4,FALSE)</f>
        <v/>
      </c>
      <c r="O14" s="42" t="str">
        <f>+VLOOKUP($B$14,EB!$A$6:$AF$20,Q4,FALSE)</f>
        <v/>
      </c>
      <c r="P14" s="42" t="str">
        <f>+VLOOKUP($B$14,EB!$A$6:$AF$20,R4,FALSE)</f>
        <v/>
      </c>
      <c r="Q14" s="42" t="str">
        <f>+VLOOKUP($B$14,EB!$A$6:$AF$20,S4,FALSE)</f>
        <v/>
      </c>
      <c r="R14" s="42" t="str">
        <f>+VLOOKUP($B$14,EB!$A$6:$AF$20,T4,FALSE)</f>
        <v/>
      </c>
      <c r="S14" s="42" t="str">
        <f>+VLOOKUP($B$14,EB!$A$6:$AF$20,U4,FALSE)</f>
        <v/>
      </c>
      <c r="T14" s="42" t="str">
        <f>+VLOOKUP($B$14,EB!$A$6:$AF$20,V4,FALSE)</f>
        <v/>
      </c>
      <c r="U14" s="42" t="str">
        <f>+VLOOKUP($B$14,EB!$A$6:$AF$20,W4,FALSE)</f>
        <v/>
      </c>
      <c r="V14" s="42" t="str">
        <f>+VLOOKUP($B$14,EB!$A$6:$AF$20,X4,FALSE)</f>
        <v/>
      </c>
      <c r="W14" s="42" t="str">
        <f>+VLOOKUP($B$14,EB!$A$6:$AF$20,Y4,FALSE)</f>
        <v/>
      </c>
      <c r="X14" s="42" t="str">
        <f>+VLOOKUP($B$14,EB!$A$6:$AF$20,Z4,FALSE)</f>
        <v/>
      </c>
      <c r="Y14" s="42" t="str">
        <f>+VLOOKUP($B$14,EB!$A$6:$AF$20,AA4,FALSE)</f>
        <v/>
      </c>
      <c r="Z14" s="42" t="str">
        <f>+VLOOKUP($B$14,EB!$A$6:$AF$20,AB4,FALSE)</f>
        <v/>
      </c>
      <c r="AA14" s="42" t="str">
        <f>+VLOOKUP($B$14,EB!$A$6:$AF$20,AC4,FALSE)</f>
        <v/>
      </c>
      <c r="AB14" s="42" t="str">
        <f>+VLOOKUP($B$14,EB!$A$6:$AF$20,AD4,FALSE)</f>
        <v/>
      </c>
      <c r="AC14" s="42" t="str">
        <f>+VLOOKUP($B$14,EB!$A$6:$AF$20,AE4,FALSE)</f>
        <v/>
      </c>
      <c r="AD14" s="42" t="str">
        <f>+VLOOKUP($B$14,EB!$A$6:$AF$20,AF4,FALSE)</f>
        <v/>
      </c>
      <c r="AE14" s="42" t="str">
        <f>+VLOOKUP(B14,EB!$A$6:$AF$20,31,FALSE)</f>
        <v/>
      </c>
      <c r="AF14" s="54" t="str">
        <f>+VLOOKUP(B14,EB!$A$6:$AF$20,32,FALSE)</f>
        <v/>
      </c>
      <c r="AG14" s="56" t="e">
        <f t="shared" si="0"/>
        <v>#DIV/0!</v>
      </c>
    </row>
    <row r="15" spans="2:36" x14ac:dyDescent="0.25">
      <c r="B15" s="61">
        <v>10</v>
      </c>
      <c r="C15" s="58" t="str">
        <f>+VLOOKUP($B$15,EB!$A$6:$AF$20,E4,FALSE)</f>
        <v/>
      </c>
      <c r="D15" s="42" t="str">
        <f>+VLOOKUP($B$15,EB!$A$6:$AF$20,F4,FALSE)</f>
        <v/>
      </c>
      <c r="E15" s="42" t="str">
        <f>+VLOOKUP($B$15,EB!$A$6:$AF$20,G4,FALSE)</f>
        <v/>
      </c>
      <c r="F15" s="42" t="str">
        <f>+VLOOKUP($B$15,EB!$A$6:$AF$20,H4,FALSE)</f>
        <v/>
      </c>
      <c r="G15" s="42" t="str">
        <f>+VLOOKUP($B$15,EB!$A$6:$AF$20,I4,FALSE)</f>
        <v/>
      </c>
      <c r="H15" s="42" t="str">
        <f>+VLOOKUP($B$15,EB!$A$6:$AF$20,J4,FALSE)</f>
        <v/>
      </c>
      <c r="I15" s="42" t="str">
        <f>+VLOOKUP($B$15,EB!$A$6:$AF$20,K4,FALSE)</f>
        <v/>
      </c>
      <c r="J15" s="42" t="str">
        <f>+VLOOKUP($B$15,EB!$A$6:$AF$20,L4,FALSE)</f>
        <v/>
      </c>
      <c r="K15" s="42" t="str">
        <f>+VLOOKUP($B$15,EB!$A$6:$AF$20,M4,FALSE)</f>
        <v/>
      </c>
      <c r="L15" s="42" t="str">
        <f>+VLOOKUP($B$15,EB!$A$6:$AF$20,N4,FALSE)</f>
        <v/>
      </c>
      <c r="M15" s="42" t="str">
        <f>+VLOOKUP($B$15,EB!$A$6:$AF$20,O4,FALSE)</f>
        <v/>
      </c>
      <c r="N15" s="42" t="str">
        <f>+VLOOKUP($B$15,EB!$A$6:$AF$20,P4,FALSE)</f>
        <v/>
      </c>
      <c r="O15" s="42" t="str">
        <f>+VLOOKUP($B$15,EB!$A$6:$AF$20,Q4,FALSE)</f>
        <v/>
      </c>
      <c r="P15" s="42" t="str">
        <f>+VLOOKUP($B$15,EB!$A$6:$AF$20,R4,FALSE)</f>
        <v/>
      </c>
      <c r="Q15" s="42" t="str">
        <f>+VLOOKUP($B$15,EB!$A$6:$AF$20,S4,FALSE)</f>
        <v/>
      </c>
      <c r="R15" s="42" t="str">
        <f>+VLOOKUP($B$15,EB!$A$6:$AF$20,T4,FALSE)</f>
        <v/>
      </c>
      <c r="S15" s="42" t="str">
        <f>+VLOOKUP($B$15,EB!$A$6:$AF$20,U4,FALSE)</f>
        <v/>
      </c>
      <c r="T15" s="42" t="str">
        <f>+VLOOKUP($B$15,EB!$A$6:$AF$20,V4,FALSE)</f>
        <v/>
      </c>
      <c r="U15" s="42" t="str">
        <f>+VLOOKUP($B$15,EB!$A$6:$AF$20,W4,FALSE)</f>
        <v/>
      </c>
      <c r="V15" s="42" t="str">
        <f>+VLOOKUP($B$15,EB!$A$6:$AF$20,X4,FALSE)</f>
        <v/>
      </c>
      <c r="W15" s="42" t="str">
        <f>+VLOOKUP($B$15,EB!$A$6:$AF$20,Y4,FALSE)</f>
        <v/>
      </c>
      <c r="X15" s="42" t="str">
        <f>+VLOOKUP($B$15,EB!$A$6:$AF$20,Z4,FALSE)</f>
        <v/>
      </c>
      <c r="Y15" s="42" t="str">
        <f>+VLOOKUP($B$15,EB!$A$6:$AF$20,AA4,FALSE)</f>
        <v/>
      </c>
      <c r="Z15" s="42" t="str">
        <f>+VLOOKUP($B$15,EB!$A$6:$AF$20,AB4,FALSE)</f>
        <v/>
      </c>
      <c r="AA15" s="42" t="str">
        <f>+VLOOKUP($B$15,EB!$A$6:$AF$20,AC4,FALSE)</f>
        <v/>
      </c>
      <c r="AB15" s="42" t="str">
        <f>+VLOOKUP($B$15,EB!$A$6:$AF$20,AD4,FALSE)</f>
        <v/>
      </c>
      <c r="AC15" s="42" t="str">
        <f>+VLOOKUP($B$15,EB!$A$6:$AF$20,AE4,FALSE)</f>
        <v/>
      </c>
      <c r="AD15" s="42" t="str">
        <f>+VLOOKUP($B$15,EB!$A$6:$AF$20,AF4,FALSE)</f>
        <v/>
      </c>
      <c r="AE15" s="42" t="str">
        <f>+VLOOKUP(B15,EB!$A$6:$AF$20,31,FALSE)</f>
        <v/>
      </c>
      <c r="AF15" s="54" t="str">
        <f>+VLOOKUP(B15,EB!$A$6:$AF$20,32,FALSE)</f>
        <v/>
      </c>
      <c r="AG15" s="56" t="e">
        <f>+AVERAGEIF(C15:AF15,"=X",$C$5:$AF$5)</f>
        <v>#DIV/0!</v>
      </c>
    </row>
    <row r="16" spans="2:36" x14ac:dyDescent="0.25">
      <c r="B16" s="61">
        <v>11</v>
      </c>
      <c r="C16" s="58" t="str">
        <f>+VLOOKUP($B$16,EB!$A$6:$AF$20,E4,FALSE)</f>
        <v/>
      </c>
      <c r="D16" s="42" t="str">
        <f>+VLOOKUP($B$16,EB!$A$6:$AF$20,F4,FALSE)</f>
        <v/>
      </c>
      <c r="E16" s="42" t="str">
        <f>+VLOOKUP($B$16,EB!$A$6:$AF$20,G4,FALSE)</f>
        <v/>
      </c>
      <c r="F16" s="42" t="str">
        <f>+VLOOKUP($B$16,EB!$A$6:$AF$20,H4,FALSE)</f>
        <v/>
      </c>
      <c r="G16" s="42" t="str">
        <f>+VLOOKUP($B$16,EB!$A$6:$AF$20,I4,FALSE)</f>
        <v/>
      </c>
      <c r="H16" s="42" t="str">
        <f>+VLOOKUP($B$16,EB!$A$6:$AF$20,J4,FALSE)</f>
        <v/>
      </c>
      <c r="I16" s="42" t="str">
        <f>+VLOOKUP($B$16,EB!$A$6:$AF$20,K4,FALSE)</f>
        <v/>
      </c>
      <c r="J16" s="42" t="str">
        <f>+VLOOKUP($B$16,EB!$A$6:$AF$20,L4,FALSE)</f>
        <v/>
      </c>
      <c r="K16" s="42" t="str">
        <f>+VLOOKUP($B$16,EB!$A$6:$AF$20,M4,FALSE)</f>
        <v/>
      </c>
      <c r="L16" s="42" t="str">
        <f>+VLOOKUP($B$16,EB!$A$6:$AF$20,N4,FALSE)</f>
        <v/>
      </c>
      <c r="M16" s="42" t="str">
        <f>+VLOOKUP($B$16,EB!$A$6:$AF$20,O4,FALSE)</f>
        <v/>
      </c>
      <c r="N16" s="42" t="str">
        <f>+VLOOKUP($B$16,EB!$A$6:$AF$20,P4,FALSE)</f>
        <v/>
      </c>
      <c r="O16" s="42" t="str">
        <f>+VLOOKUP($B$16,EB!$A$6:$AF$20,Q4,FALSE)</f>
        <v/>
      </c>
      <c r="P16" s="42" t="str">
        <f>+VLOOKUP($B$16,EB!$A$6:$AF$20,R4,FALSE)</f>
        <v/>
      </c>
      <c r="Q16" s="42" t="str">
        <f>+VLOOKUP($B$16,EB!$A$6:$AF$20,S4,FALSE)</f>
        <v/>
      </c>
      <c r="R16" s="42" t="str">
        <f>+VLOOKUP($B$16,EB!$A$6:$AF$20,T4,FALSE)</f>
        <v/>
      </c>
      <c r="S16" s="42" t="str">
        <f>+VLOOKUP($B$16,EB!$A$6:$AF$20,U4,FALSE)</f>
        <v/>
      </c>
      <c r="T16" s="42" t="str">
        <f>+VLOOKUP($B$16,EB!$A$6:$AF$20,V4,FALSE)</f>
        <v/>
      </c>
      <c r="U16" s="42" t="str">
        <f>+VLOOKUP($B$16,EB!$A$6:$AF$20,W4,FALSE)</f>
        <v/>
      </c>
      <c r="V16" s="42" t="str">
        <f>+VLOOKUP($B$16,EB!$A$6:$AF$20,X4,FALSE)</f>
        <v/>
      </c>
      <c r="W16" s="42" t="str">
        <f>+VLOOKUP($B$16,EB!$A$6:$AF$20,Y4,FALSE)</f>
        <v/>
      </c>
      <c r="X16" s="42" t="str">
        <f>+VLOOKUP($B$16,EB!$A$6:$AF$20,Z4,FALSE)</f>
        <v/>
      </c>
      <c r="Y16" s="42" t="str">
        <f>+VLOOKUP($B$16,EB!$A$6:$AF$20,AA4,FALSE)</f>
        <v/>
      </c>
      <c r="Z16" s="42" t="str">
        <f>+VLOOKUP($B$16,EB!$A$6:$AF$20,AB4,FALSE)</f>
        <v/>
      </c>
      <c r="AA16" s="42" t="str">
        <f>+VLOOKUP($B$16,EB!$A$6:$AF$20,AC4,FALSE)</f>
        <v/>
      </c>
      <c r="AB16" s="42" t="str">
        <f>+VLOOKUP($B$16,EB!$A$6:$AF$20,AD4,FALSE)</f>
        <v/>
      </c>
      <c r="AC16" s="42" t="str">
        <f>+VLOOKUP($B$16,EB!$A$6:$AF$20,AE4,FALSE)</f>
        <v/>
      </c>
      <c r="AD16" s="42" t="str">
        <f>+VLOOKUP($B$16,EB!$A$6:$AF$20,AF4,FALSE)</f>
        <v/>
      </c>
      <c r="AE16" s="42" t="str">
        <f>+VLOOKUP($B$16,EB!$A$6:$AF$20,31,FALSE)</f>
        <v/>
      </c>
      <c r="AF16" s="54" t="str">
        <f>+VLOOKUP($B$16,EB!$A$6:$AF$20,32,FALSE)</f>
        <v/>
      </c>
      <c r="AG16" s="56" t="e">
        <f t="shared" ref="AG16:AG20" si="1">+AVERAGEIF(C16:AF16,"=X",$C$5:$AF$5)</f>
        <v>#DIV/0!</v>
      </c>
    </row>
    <row r="17" spans="2:33" x14ac:dyDescent="0.25">
      <c r="B17" s="61">
        <v>12</v>
      </c>
      <c r="C17" s="58" t="str">
        <f>+VLOOKUP($B$17,EB!$A$6:$AF$20,E4,FALSE)</f>
        <v/>
      </c>
      <c r="D17" s="42" t="str">
        <f>+VLOOKUP($B$17,EB!$A$6:$AF$20,F4,FALSE)</f>
        <v/>
      </c>
      <c r="E17" s="42" t="str">
        <f>+VLOOKUP($B$17,EB!$A$6:$AF$20,G4,FALSE)</f>
        <v/>
      </c>
      <c r="F17" s="42" t="str">
        <f>+VLOOKUP($B$17,EB!$A$6:$AF$20,H4,FALSE)</f>
        <v/>
      </c>
      <c r="G17" s="42" t="str">
        <f>+VLOOKUP($B$17,EB!$A$6:$AF$20,I4,FALSE)</f>
        <v/>
      </c>
      <c r="H17" s="42" t="str">
        <f>+VLOOKUP($B$17,EB!$A$6:$AF$20,J4,FALSE)</f>
        <v/>
      </c>
      <c r="I17" s="42" t="str">
        <f>+VLOOKUP($B$17,EB!$A$6:$AF$20,K4,FALSE)</f>
        <v/>
      </c>
      <c r="J17" s="42" t="str">
        <f>+VLOOKUP($B$17,EB!$A$6:$AF$20,L4,FALSE)</f>
        <v/>
      </c>
      <c r="K17" s="42" t="str">
        <f>+VLOOKUP($B$17,EB!$A$6:$AF$20,M4,FALSE)</f>
        <v/>
      </c>
      <c r="L17" s="42" t="str">
        <f>+VLOOKUP($B$17,EB!$A$6:$AF$20,N4,FALSE)</f>
        <v/>
      </c>
      <c r="M17" s="42" t="str">
        <f>+VLOOKUP($B$17,EB!$A$6:$AF$20,O4,FALSE)</f>
        <v/>
      </c>
      <c r="N17" s="42" t="str">
        <f>+VLOOKUP($B$17,EB!$A$6:$AF$20,P4,FALSE)</f>
        <v/>
      </c>
      <c r="O17" s="42" t="str">
        <f>+VLOOKUP($B$17,EB!$A$6:$AF$20,Q4,FALSE)</f>
        <v/>
      </c>
      <c r="P17" s="42" t="str">
        <f>+VLOOKUP($B$17,EB!$A$6:$AF$20,R4,FALSE)</f>
        <v/>
      </c>
      <c r="Q17" s="42" t="str">
        <f>+VLOOKUP($B$17,EB!$A$6:$AF$20,S4,FALSE)</f>
        <v/>
      </c>
      <c r="R17" s="42" t="str">
        <f>+VLOOKUP($B$17,EB!$A$6:$AF$20,T4,FALSE)</f>
        <v/>
      </c>
      <c r="S17" s="42" t="str">
        <f>+VLOOKUP($B$17,EB!$A$6:$AF$20,U4,FALSE)</f>
        <v/>
      </c>
      <c r="T17" s="42" t="str">
        <f>+VLOOKUP($B$17,EB!$A$6:$AF$20,V4,FALSE)</f>
        <v/>
      </c>
      <c r="U17" s="42" t="str">
        <f>+VLOOKUP($B$17,EB!$A$6:$AF$20,W4,FALSE)</f>
        <v/>
      </c>
      <c r="V17" s="42" t="str">
        <f>+VLOOKUP($B$17,EB!$A$6:$AF$20,X4,FALSE)</f>
        <v/>
      </c>
      <c r="W17" s="42" t="str">
        <f>+VLOOKUP($B$17,EB!$A$6:$AF$20,Y4,FALSE)</f>
        <v/>
      </c>
      <c r="X17" s="42" t="str">
        <f>+VLOOKUP($B$17,EB!$A$6:$AF$20,Z4,FALSE)</f>
        <v/>
      </c>
      <c r="Y17" s="42" t="str">
        <f>+VLOOKUP($B$17,EB!$A$6:$AF$20,AA4,FALSE)</f>
        <v/>
      </c>
      <c r="Z17" s="42" t="str">
        <f>+VLOOKUP($B$17,EB!$A$6:$AF$20,AB4,FALSE)</f>
        <v/>
      </c>
      <c r="AA17" s="42" t="str">
        <f>+VLOOKUP($B$17,EB!$A$6:$AF$20,AC4,FALSE)</f>
        <v/>
      </c>
      <c r="AB17" s="42" t="str">
        <f>+VLOOKUP($B$17,EB!$A$6:$AF$20,AD4,FALSE)</f>
        <v/>
      </c>
      <c r="AC17" s="42" t="str">
        <f>+VLOOKUP($B$17,EB!$A$6:$AF$20,AE4,FALSE)</f>
        <v/>
      </c>
      <c r="AD17" s="42" t="str">
        <f>+VLOOKUP($B$17,EB!$A$6:$AF$20,AF4,FALSE)</f>
        <v/>
      </c>
      <c r="AE17" s="42" t="str">
        <f>+VLOOKUP($B$17,EB!$A$6:$AF$20,31,FALSE)</f>
        <v/>
      </c>
      <c r="AF17" s="54" t="str">
        <f>+VLOOKUP($B$17,EB!$A$6:$AF$20,32,FALSE)</f>
        <v/>
      </c>
      <c r="AG17" s="56" t="e">
        <f t="shared" si="1"/>
        <v>#DIV/0!</v>
      </c>
    </row>
    <row r="18" spans="2:33" x14ac:dyDescent="0.25">
      <c r="B18" s="61">
        <v>13</v>
      </c>
      <c r="C18" s="58" t="str">
        <f>+VLOOKUP($B$18,EB!$A$6:$AF$20,E4,FALSE)</f>
        <v/>
      </c>
      <c r="D18" s="42" t="str">
        <f>+VLOOKUP($B$18,EB!$A$6:$AF$20,F4,FALSE)</f>
        <v/>
      </c>
      <c r="E18" s="42" t="str">
        <f>+VLOOKUP($B$18,EB!$A$6:$AF$20,G4,FALSE)</f>
        <v/>
      </c>
      <c r="F18" s="42" t="str">
        <f>+VLOOKUP($B$18,EB!$A$6:$AF$20,H4,FALSE)</f>
        <v/>
      </c>
      <c r="G18" s="42" t="str">
        <f>+VLOOKUP($B$18,EB!$A$6:$AF$20,I4,FALSE)</f>
        <v/>
      </c>
      <c r="H18" s="42" t="str">
        <f>+VLOOKUP($B$18,EB!$A$6:$AF$20,J4,FALSE)</f>
        <v/>
      </c>
      <c r="I18" s="42" t="str">
        <f>+VLOOKUP($B$18,EB!$A$6:$AF$20,K4,FALSE)</f>
        <v/>
      </c>
      <c r="J18" s="42" t="str">
        <f>+VLOOKUP($B$18,EB!$A$6:$AF$20,L4,FALSE)</f>
        <v/>
      </c>
      <c r="K18" s="42" t="str">
        <f>+VLOOKUP($B$18,EB!$A$6:$AF$20,M4,FALSE)</f>
        <v/>
      </c>
      <c r="L18" s="42" t="str">
        <f>+VLOOKUP($B$18,EB!$A$6:$AF$20,N4,FALSE)</f>
        <v/>
      </c>
      <c r="M18" s="42" t="str">
        <f>+VLOOKUP($B$18,EB!$A$6:$AF$20,O4,FALSE)</f>
        <v/>
      </c>
      <c r="N18" s="42" t="str">
        <f>+VLOOKUP($B$18,EB!$A$6:$AF$20,P4,FALSE)</f>
        <v/>
      </c>
      <c r="O18" s="42" t="str">
        <f>+VLOOKUP($B$18,EB!$A$6:$AF$20,Q4,FALSE)</f>
        <v/>
      </c>
      <c r="P18" s="42" t="str">
        <f>+VLOOKUP($B$18,EB!$A$6:$AF$20,R4,FALSE)</f>
        <v/>
      </c>
      <c r="Q18" s="42" t="str">
        <f>+VLOOKUP($B$18,EB!$A$6:$AF$20,S4,FALSE)</f>
        <v/>
      </c>
      <c r="R18" s="42" t="str">
        <f>+VLOOKUP($B$18,EB!$A$6:$AF$20,T4,FALSE)</f>
        <v/>
      </c>
      <c r="S18" s="42" t="str">
        <f>+VLOOKUP($B$18,EB!$A$6:$AF$20,U4,FALSE)</f>
        <v/>
      </c>
      <c r="T18" s="42" t="str">
        <f>+VLOOKUP($B$18,EB!$A$6:$AF$20,V4,FALSE)</f>
        <v/>
      </c>
      <c r="U18" s="42" t="str">
        <f>+VLOOKUP($B$18,EB!$A$6:$AF$20,W4,FALSE)</f>
        <v/>
      </c>
      <c r="V18" s="42" t="str">
        <f>+VLOOKUP($B$18,EB!$A$6:$AF$20,X4,FALSE)</f>
        <v/>
      </c>
      <c r="W18" s="42" t="str">
        <f>+VLOOKUP($B$18,EB!$A$6:$AF$20,Y4,FALSE)</f>
        <v/>
      </c>
      <c r="X18" s="42" t="str">
        <f>+VLOOKUP($B$18,EB!$A$6:$AF$20,Z4,FALSE)</f>
        <v/>
      </c>
      <c r="Y18" s="42" t="str">
        <f>+VLOOKUP($B$18,EB!$A$6:$AF$20,AA4,FALSE)</f>
        <v/>
      </c>
      <c r="Z18" s="42" t="str">
        <f>+VLOOKUP($B$18,EB!$A$6:$AF$20,AB4,FALSE)</f>
        <v/>
      </c>
      <c r="AA18" s="42" t="str">
        <f>+VLOOKUP($B$18,EB!$A$6:$AF$20,AC4,FALSE)</f>
        <v/>
      </c>
      <c r="AB18" s="42" t="str">
        <f>+VLOOKUP($B$18,EB!$A$6:$AF$20,AD4,FALSE)</f>
        <v/>
      </c>
      <c r="AC18" s="42" t="str">
        <f>+VLOOKUP($B$18,EB!$A$6:$AF$20,AE4,FALSE)</f>
        <v/>
      </c>
      <c r="AD18" s="42" t="str">
        <f>+VLOOKUP($B$18,EB!$A$6:$AF$20,AF4,FALSE)</f>
        <v/>
      </c>
      <c r="AE18" s="42" t="str">
        <f>+VLOOKUP($B$18,EB!$A$6:$AF$20,31,FALSE)</f>
        <v/>
      </c>
      <c r="AF18" s="54" t="str">
        <f>+VLOOKUP($B$18,EB!$A$6:$AF$20,32,FALSE)</f>
        <v/>
      </c>
      <c r="AG18" s="56" t="e">
        <f t="shared" si="1"/>
        <v>#DIV/0!</v>
      </c>
    </row>
    <row r="19" spans="2:33" x14ac:dyDescent="0.25">
      <c r="B19" s="61">
        <v>14</v>
      </c>
      <c r="C19" s="58" t="str">
        <f>+VLOOKUP($B$19,EB!$A$6:$AF$20,E4,FALSE)</f>
        <v/>
      </c>
      <c r="D19" s="42" t="str">
        <f>+VLOOKUP($B$19,EB!$A$6:$AF$20,F4,FALSE)</f>
        <v/>
      </c>
      <c r="E19" s="42" t="str">
        <f>+VLOOKUP($B$19,EB!$A$6:$AF$20,G4,FALSE)</f>
        <v/>
      </c>
      <c r="F19" s="42" t="str">
        <f>+VLOOKUP($B$19,EB!$A$6:$AF$20,H4,FALSE)</f>
        <v/>
      </c>
      <c r="G19" s="42" t="str">
        <f>+VLOOKUP($B$19,EB!$A$6:$AF$20,I4,FALSE)</f>
        <v/>
      </c>
      <c r="H19" s="42" t="str">
        <f>+VLOOKUP($B$19,EB!$A$6:$AF$20,J4,FALSE)</f>
        <v/>
      </c>
      <c r="I19" s="42" t="str">
        <f>+VLOOKUP($B$19,EB!$A$6:$AF$20,K4,FALSE)</f>
        <v/>
      </c>
      <c r="J19" s="42" t="str">
        <f>+VLOOKUP($B$19,EB!$A$6:$AF$20,L4,FALSE)</f>
        <v/>
      </c>
      <c r="K19" s="42" t="str">
        <f>+VLOOKUP($B$19,EB!$A$6:$AF$20,M4,FALSE)</f>
        <v/>
      </c>
      <c r="L19" s="42" t="str">
        <f>+VLOOKUP($B$19,EB!$A$6:$AF$20,N4,FALSE)</f>
        <v/>
      </c>
      <c r="M19" s="42" t="str">
        <f>+VLOOKUP($B$19,EB!$A$6:$AF$20,O4,FALSE)</f>
        <v/>
      </c>
      <c r="N19" s="42" t="str">
        <f>+VLOOKUP($B$19,EB!$A$6:$AF$20,P4,FALSE)</f>
        <v/>
      </c>
      <c r="O19" s="42" t="str">
        <f>+VLOOKUP($B$19,EB!$A$6:$AF$20,Q4,FALSE)</f>
        <v/>
      </c>
      <c r="P19" s="42" t="str">
        <f>+VLOOKUP($B$19,EB!$A$6:$AF$20,R4,FALSE)</f>
        <v/>
      </c>
      <c r="Q19" s="42" t="str">
        <f>+VLOOKUP($B$19,EB!$A$6:$AF$20,S4,FALSE)</f>
        <v/>
      </c>
      <c r="R19" s="42" t="str">
        <f>+VLOOKUP($B$19,EB!$A$6:$AF$20,T4,FALSE)</f>
        <v/>
      </c>
      <c r="S19" s="42" t="str">
        <f>+VLOOKUP($B$19,EB!$A$6:$AF$20,U4,FALSE)</f>
        <v/>
      </c>
      <c r="T19" s="42" t="str">
        <f>+VLOOKUP($B$19,EB!$A$6:$AF$20,V4,FALSE)</f>
        <v/>
      </c>
      <c r="U19" s="42" t="str">
        <f>+VLOOKUP($B$19,EB!$A$6:$AF$20,W4,FALSE)</f>
        <v/>
      </c>
      <c r="V19" s="42" t="str">
        <f>+VLOOKUP($B$19,EB!$A$6:$AF$20,X4,FALSE)</f>
        <v/>
      </c>
      <c r="W19" s="42" t="str">
        <f>+VLOOKUP($B$19,EB!$A$6:$AF$20,Y4,FALSE)</f>
        <v/>
      </c>
      <c r="X19" s="42" t="str">
        <f>+VLOOKUP($B$19,EB!$A$6:$AF$20,Z4,FALSE)</f>
        <v/>
      </c>
      <c r="Y19" s="42" t="str">
        <f>+VLOOKUP($B$19,EB!$A$6:$AF$20,AA4,FALSE)</f>
        <v/>
      </c>
      <c r="Z19" s="42" t="str">
        <f>+VLOOKUP($B$19,EB!$A$6:$AF$20,AB4,FALSE)</f>
        <v/>
      </c>
      <c r="AA19" s="42" t="str">
        <f>+VLOOKUP($B$19,EB!$A$6:$AF$20,AC4,FALSE)</f>
        <v/>
      </c>
      <c r="AB19" s="42" t="str">
        <f>+VLOOKUP($B$19,EB!$A$6:$AF$20,AD4,FALSE)</f>
        <v/>
      </c>
      <c r="AC19" s="42" t="str">
        <f>+VLOOKUP($B$19,EB!$A$6:$AF$20,AE4,FALSE)</f>
        <v/>
      </c>
      <c r="AD19" s="42" t="str">
        <f>+VLOOKUP($B$19,EB!$A$6:$AF$20,AF4,FALSE)</f>
        <v/>
      </c>
      <c r="AE19" s="42" t="str">
        <f>+VLOOKUP($B$19,EB!$A$6:$AF$20,31,FALSE)</f>
        <v/>
      </c>
      <c r="AF19" s="54" t="str">
        <f>+VLOOKUP($B$19,EB!$A$6:$AF$20,32,FALSE)</f>
        <v/>
      </c>
      <c r="AG19" s="56" t="e">
        <f t="shared" si="1"/>
        <v>#DIV/0!</v>
      </c>
    </row>
    <row r="20" spans="2:33" ht="15.75" thickBot="1" x14ac:dyDescent="0.3">
      <c r="B20" s="62">
        <v>15</v>
      </c>
      <c r="C20" s="59" t="str">
        <f>+VLOOKUP($B$20,EB!$A$6:$AF$20,E4,FALSE)</f>
        <v/>
      </c>
      <c r="D20" s="43" t="str">
        <f>+VLOOKUP($B$20,EB!$A$6:$AF$20,F4,FALSE)</f>
        <v/>
      </c>
      <c r="E20" s="43" t="str">
        <f>+VLOOKUP($B$20,EB!$A$6:$AF$20,G4,FALSE)</f>
        <v/>
      </c>
      <c r="F20" s="43" t="str">
        <f>+VLOOKUP($B$20,EB!$A$6:$AF$20,H4,FALSE)</f>
        <v/>
      </c>
      <c r="G20" s="43" t="str">
        <f>+VLOOKUP($B$20,EB!$A$6:$AF$20,I4,FALSE)</f>
        <v/>
      </c>
      <c r="H20" s="43" t="str">
        <f>+VLOOKUP($B$20,EB!$A$6:$AF$20,J4,FALSE)</f>
        <v/>
      </c>
      <c r="I20" s="43" t="str">
        <f>+VLOOKUP($B$20,EB!$A$6:$AF$20,K4,FALSE)</f>
        <v/>
      </c>
      <c r="J20" s="43" t="str">
        <f>+VLOOKUP($B$20,EB!$A$6:$AF$20,L4,FALSE)</f>
        <v/>
      </c>
      <c r="K20" s="43" t="str">
        <f>+VLOOKUP($B$20,EB!$A$6:$AF$20,M4,FALSE)</f>
        <v/>
      </c>
      <c r="L20" s="43" t="str">
        <f>+VLOOKUP($B$20,EB!$A$6:$AF$20,N4,FALSE)</f>
        <v/>
      </c>
      <c r="M20" s="43" t="str">
        <f>+VLOOKUP($B$20,EB!$A$6:$AF$20,O4,FALSE)</f>
        <v/>
      </c>
      <c r="N20" s="43" t="str">
        <f>+VLOOKUP($B$20,EB!$A$6:$AF$20,P4,FALSE)</f>
        <v/>
      </c>
      <c r="O20" s="43" t="str">
        <f>+VLOOKUP($B$20,EB!$A$6:$AF$20,Q4,FALSE)</f>
        <v/>
      </c>
      <c r="P20" s="43" t="str">
        <f>+VLOOKUP($B$20,EB!$A$6:$AF$20,R4,FALSE)</f>
        <v/>
      </c>
      <c r="Q20" s="43" t="str">
        <f>+VLOOKUP($B$20,EB!$A$6:$AF$20,S4,FALSE)</f>
        <v/>
      </c>
      <c r="R20" s="43" t="str">
        <f>+VLOOKUP($B$20,EB!$A$6:$AF$20,T4,FALSE)</f>
        <v/>
      </c>
      <c r="S20" s="43" t="str">
        <f>+VLOOKUP($B$20,EB!$A$6:$AF$20,U4,FALSE)</f>
        <v/>
      </c>
      <c r="T20" s="43" t="str">
        <f>+VLOOKUP($B$20,EB!$A$6:$AF$20,V4,FALSE)</f>
        <v/>
      </c>
      <c r="U20" s="43" t="str">
        <f>+VLOOKUP($B$20,EB!$A$6:$AF$20,W4,FALSE)</f>
        <v/>
      </c>
      <c r="V20" s="43" t="str">
        <f>+VLOOKUP($B$20,EB!$A$6:$AF$20,X4,FALSE)</f>
        <v/>
      </c>
      <c r="W20" s="43" t="str">
        <f>+VLOOKUP($B$20,EB!$A$6:$AF$20,Y4,FALSE)</f>
        <v/>
      </c>
      <c r="X20" s="43" t="str">
        <f>+VLOOKUP($B$20,EB!$A$6:$AF$20,Z4,FALSE)</f>
        <v/>
      </c>
      <c r="Y20" s="43" t="str">
        <f>+VLOOKUP($B$20,EB!$A$6:$AF$20,AA4,FALSE)</f>
        <v/>
      </c>
      <c r="Z20" s="43" t="str">
        <f>+VLOOKUP($B$20,EB!$A$6:$AF$20,AB4,FALSE)</f>
        <v/>
      </c>
      <c r="AA20" s="43" t="str">
        <f>+VLOOKUP($B$20,EB!$A$6:$AF$20,AC4,FALSE)</f>
        <v/>
      </c>
      <c r="AB20" s="43" t="str">
        <f>+VLOOKUP($B$20,EB!$A$6:$AF$20,AD4,FALSE)</f>
        <v/>
      </c>
      <c r="AC20" s="43" t="str">
        <f>+VLOOKUP($B$20,EB!$A$6:$AF$20,AE4,FALSE)</f>
        <v/>
      </c>
      <c r="AD20" s="43" t="str">
        <f>+VLOOKUP($B$20,EB!$A$6:$AF$20,AF4,FALSE)</f>
        <v/>
      </c>
      <c r="AE20" s="43" t="str">
        <f>+VLOOKUP($B$20,EB!$A$6:$AF$20,31,FALSE)</f>
        <v/>
      </c>
      <c r="AF20" s="60" t="str">
        <f>+VLOOKUP($B$20,EB!$A$6:$AF$20,31,FALSE)</f>
        <v/>
      </c>
      <c r="AG20" s="57" t="e">
        <f t="shared" si="1"/>
        <v>#DIV/0!</v>
      </c>
    </row>
    <row r="21" spans="2:33" x14ac:dyDescent="0.25">
      <c r="N21" s="1"/>
      <c r="Q21" s="1"/>
      <c r="AG21" s="49"/>
    </row>
    <row r="22" spans="2:33" x14ac:dyDescent="0.25">
      <c r="N22" s="1"/>
      <c r="Q22" s="1"/>
      <c r="AG22" s="49"/>
    </row>
    <row r="23" spans="2:33" x14ac:dyDescent="0.25">
      <c r="N23" s="1"/>
      <c r="Q23" s="1"/>
      <c r="AG23" s="49"/>
    </row>
    <row r="24" spans="2:33" x14ac:dyDescent="0.25">
      <c r="N24" s="1"/>
      <c r="Q24" s="1"/>
      <c r="AG24" s="49"/>
    </row>
    <row r="25" spans="2:33" x14ac:dyDescent="0.25">
      <c r="N25" s="1"/>
      <c r="Q25" s="1"/>
      <c r="AG25" s="49"/>
    </row>
    <row r="26" spans="2:33" x14ac:dyDescent="0.25">
      <c r="N26" s="1"/>
      <c r="Q26" s="1"/>
      <c r="AG26" s="49"/>
    </row>
    <row r="27" spans="2:33" x14ac:dyDescent="0.25">
      <c r="N27" s="1"/>
      <c r="Q27" s="1"/>
      <c r="AG27" s="49"/>
    </row>
    <row r="28" spans="2:33" x14ac:dyDescent="0.25">
      <c r="N28" s="1"/>
      <c r="Q28" s="1"/>
      <c r="AG28" s="49"/>
    </row>
    <row r="29" spans="2:33" x14ac:dyDescent="0.25">
      <c r="N29" s="1"/>
      <c r="Q29" s="1"/>
      <c r="AG29" s="49"/>
    </row>
    <row r="30" spans="2:33" x14ac:dyDescent="0.25">
      <c r="N30" s="1"/>
      <c r="Q30" s="1"/>
      <c r="AG30" s="49"/>
    </row>
    <row r="31" spans="2:33" x14ac:dyDescent="0.25">
      <c r="N31" s="1"/>
      <c r="Q31" s="1"/>
      <c r="AG31" s="49"/>
    </row>
    <row r="32" spans="2:33" x14ac:dyDescent="0.25">
      <c r="N32" s="1"/>
      <c r="Q32" s="1"/>
      <c r="AG32" s="49"/>
    </row>
    <row r="33" spans="8:33" x14ac:dyDescent="0.25">
      <c r="N33" s="1"/>
      <c r="Q33" s="1"/>
      <c r="AG33" s="49"/>
    </row>
    <row r="34" spans="8:33" x14ac:dyDescent="0.25">
      <c r="N34" s="1"/>
      <c r="Q34" s="1"/>
      <c r="AG34" s="49"/>
    </row>
    <row r="35" spans="8:33" x14ac:dyDescent="0.25">
      <c r="N35" s="1"/>
      <c r="Q35" s="1"/>
      <c r="AG35" s="49"/>
    </row>
    <row r="36" spans="8:33" x14ac:dyDescent="0.25">
      <c r="N36" s="1"/>
      <c r="Q36" s="1"/>
      <c r="AG36" s="49"/>
    </row>
    <row r="37" spans="8:33" x14ac:dyDescent="0.25">
      <c r="N37" s="1"/>
      <c r="Q37" s="1"/>
      <c r="AG37" s="49"/>
    </row>
    <row r="38" spans="8:33" x14ac:dyDescent="0.25">
      <c r="N38" s="1"/>
      <c r="Q38" s="1"/>
      <c r="AG38" s="49"/>
    </row>
    <row r="39" spans="8:33" x14ac:dyDescent="0.25">
      <c r="N39" s="1"/>
      <c r="Q39" s="1"/>
      <c r="AG39" s="49"/>
    </row>
    <row r="40" spans="8:33" x14ac:dyDescent="0.25">
      <c r="N40" s="1"/>
      <c r="Q40" s="1"/>
      <c r="AG40" s="49"/>
    </row>
    <row r="41" spans="8:33" x14ac:dyDescent="0.25">
      <c r="N41" s="1"/>
      <c r="Q41" s="1"/>
      <c r="AG41" s="49"/>
    </row>
    <row r="42" spans="8:33" x14ac:dyDescent="0.25">
      <c r="N42" s="1"/>
      <c r="Q42" s="1"/>
      <c r="AG42" s="49"/>
    </row>
    <row r="43" spans="8:33" x14ac:dyDescent="0.25">
      <c r="N43" s="1"/>
      <c r="Q43" s="1"/>
      <c r="AG43" s="49"/>
    </row>
    <row r="44" spans="8:33" x14ac:dyDescent="0.25">
      <c r="N44" s="1"/>
      <c r="Q44" s="1"/>
      <c r="AG44" s="49"/>
    </row>
    <row r="45" spans="8:33" x14ac:dyDescent="0.25">
      <c r="N45" s="1"/>
      <c r="Q45" s="1"/>
      <c r="AG45" s="49"/>
    </row>
    <row r="46" spans="8:33" x14ac:dyDescent="0.25">
      <c r="N46" s="1"/>
      <c r="Q46" s="1"/>
      <c r="AG46" s="49"/>
    </row>
    <row r="47" spans="8:33" x14ac:dyDescent="0.25">
      <c r="H47" s="1"/>
      <c r="J47" s="1"/>
      <c r="N47" s="1"/>
      <c r="Q47" s="1"/>
      <c r="AG47" s="49"/>
    </row>
    <row r="48" spans="8:33" x14ac:dyDescent="0.25">
      <c r="H48" s="1"/>
      <c r="J48" s="1"/>
      <c r="N48" s="1"/>
      <c r="Q48" s="1"/>
      <c r="AG48" s="49"/>
    </row>
    <row r="49" spans="8:33" x14ac:dyDescent="0.25">
      <c r="H49" s="1"/>
      <c r="J49" s="1"/>
      <c r="N49" s="1"/>
      <c r="Q49" s="1"/>
      <c r="AG49" s="49"/>
    </row>
    <row r="50" spans="8:33" x14ac:dyDescent="0.25">
      <c r="H50" s="1"/>
      <c r="J50" s="1"/>
      <c r="N50" s="1"/>
      <c r="Q50" s="1"/>
      <c r="AG50" s="49"/>
    </row>
    <row r="51" spans="8:33" x14ac:dyDescent="0.25">
      <c r="H51" s="1"/>
      <c r="J51" s="1"/>
      <c r="N51" s="1"/>
      <c r="Q51" s="1"/>
      <c r="AG51" s="49"/>
    </row>
    <row r="52" spans="8:33" x14ac:dyDescent="0.25">
      <c r="H52" s="1"/>
      <c r="J52" s="1"/>
      <c r="N52" s="1"/>
      <c r="Q52" s="1"/>
      <c r="AG52" s="49"/>
    </row>
    <row r="53" spans="8:33" x14ac:dyDescent="0.25">
      <c r="H53" s="1"/>
      <c r="J53" s="1"/>
      <c r="N53" s="1"/>
      <c r="Q53" s="1"/>
      <c r="AG53" s="49"/>
    </row>
    <row r="54" spans="8:33" x14ac:dyDescent="0.25">
      <c r="H54" s="1"/>
      <c r="J54" s="1"/>
      <c r="N54" s="1"/>
      <c r="Q54" s="1"/>
      <c r="AG54" s="49"/>
    </row>
    <row r="55" spans="8:33" x14ac:dyDescent="0.25">
      <c r="H55" s="1"/>
      <c r="J55" s="1"/>
      <c r="N55" s="1"/>
      <c r="Q55" s="1"/>
      <c r="AG55" s="49"/>
    </row>
    <row r="56" spans="8:33" x14ac:dyDescent="0.25">
      <c r="H56" s="1"/>
      <c r="J56" s="1"/>
      <c r="N56" s="1"/>
      <c r="Q56" s="1"/>
      <c r="AG56" s="49"/>
    </row>
    <row r="57" spans="8:33" x14ac:dyDescent="0.25">
      <c r="H57" s="1"/>
      <c r="J57" s="1"/>
      <c r="N57" s="1"/>
      <c r="Q57" s="1"/>
      <c r="AG57" s="49"/>
    </row>
    <row r="58" spans="8:33" x14ac:dyDescent="0.25">
      <c r="H58" s="1"/>
      <c r="J58" s="1"/>
      <c r="N58" s="1"/>
      <c r="Q58" s="1"/>
      <c r="AG58" s="49"/>
    </row>
    <row r="59" spans="8:33" x14ac:dyDescent="0.25">
      <c r="H59" s="1"/>
      <c r="J59" s="1"/>
      <c r="N59" s="1"/>
      <c r="Q59" s="1"/>
      <c r="AG59" s="49"/>
    </row>
    <row r="60" spans="8:33" x14ac:dyDescent="0.25">
      <c r="H60" s="1"/>
      <c r="J60" s="1"/>
      <c r="N60" s="1"/>
      <c r="Q60" s="1"/>
      <c r="AG60" s="49"/>
    </row>
    <row r="61" spans="8:33" x14ac:dyDescent="0.25">
      <c r="H61" s="1"/>
      <c r="J61" s="1"/>
      <c r="N61" s="1"/>
      <c r="Q61" s="1"/>
      <c r="AG61" s="49"/>
    </row>
    <row r="62" spans="8:33" x14ac:dyDescent="0.25">
      <c r="H62" s="1"/>
      <c r="J62" s="1"/>
      <c r="N62" s="1"/>
      <c r="Q62" s="1"/>
      <c r="AG62" s="49"/>
    </row>
    <row r="63" spans="8:33" x14ac:dyDescent="0.25">
      <c r="H63" s="1"/>
      <c r="J63" s="1"/>
      <c r="N63" s="1"/>
      <c r="Q63" s="1"/>
      <c r="AG63" s="49"/>
    </row>
    <row r="64" spans="8:33" x14ac:dyDescent="0.25">
      <c r="H64" s="1"/>
      <c r="J64" s="1"/>
      <c r="N64" s="1"/>
      <c r="Q64" s="1"/>
      <c r="AG64" s="49"/>
    </row>
    <row r="65" spans="8:33" x14ac:dyDescent="0.25">
      <c r="H65" s="1"/>
      <c r="J65" s="1"/>
      <c r="N65" s="1"/>
      <c r="Q65" s="1"/>
      <c r="AG65" s="49"/>
    </row>
    <row r="66" spans="8:33" x14ac:dyDescent="0.25">
      <c r="H66" s="1"/>
      <c r="J66" s="1"/>
      <c r="N66" s="1"/>
      <c r="Q66" s="1"/>
      <c r="AG66" s="49"/>
    </row>
    <row r="67" spans="8:33" x14ac:dyDescent="0.25">
      <c r="H67" s="1"/>
      <c r="J67" s="1"/>
      <c r="N67" s="1"/>
      <c r="Q67" s="1"/>
      <c r="AG67" s="49"/>
    </row>
    <row r="68" spans="8:33" x14ac:dyDescent="0.25">
      <c r="H68" s="1"/>
      <c r="J68" s="1"/>
      <c r="N68" s="1"/>
      <c r="Q68" s="1"/>
      <c r="AG68" s="49"/>
    </row>
    <row r="69" spans="8:33" x14ac:dyDescent="0.25">
      <c r="H69" s="1"/>
      <c r="J69" s="1"/>
      <c r="N69" s="1"/>
      <c r="Q69" s="1"/>
      <c r="AG69" s="49"/>
    </row>
    <row r="70" spans="8:33" x14ac:dyDescent="0.25">
      <c r="H70" s="1"/>
      <c r="J70" s="1"/>
      <c r="N70" s="1"/>
      <c r="Q70" s="1"/>
      <c r="AG70" s="49"/>
    </row>
    <row r="71" spans="8:33" x14ac:dyDescent="0.25">
      <c r="H71" s="1"/>
      <c r="J71" s="1"/>
      <c r="N71" s="1"/>
      <c r="Q71" s="1"/>
      <c r="AG71" s="49"/>
    </row>
    <row r="72" spans="8:33" x14ac:dyDescent="0.25">
      <c r="H72" s="1"/>
      <c r="J72" s="1"/>
      <c r="N72" s="1"/>
      <c r="Q72" s="1"/>
      <c r="AG72" s="49"/>
    </row>
    <row r="73" spans="8:33" x14ac:dyDescent="0.25">
      <c r="H73" s="1"/>
      <c r="J73" s="1"/>
      <c r="N73" s="1"/>
      <c r="Q73" s="1"/>
      <c r="AG73" s="49"/>
    </row>
    <row r="74" spans="8:33" x14ac:dyDescent="0.25">
      <c r="H74" s="1"/>
      <c r="J74" s="1"/>
      <c r="N74" s="1"/>
      <c r="Q74" s="1"/>
      <c r="AG74" s="49"/>
    </row>
    <row r="75" spans="8:33" x14ac:dyDescent="0.25">
      <c r="H75" s="1"/>
      <c r="J75" s="1"/>
      <c r="N75" s="1"/>
      <c r="Q75" s="1"/>
      <c r="AG75" s="49"/>
    </row>
    <row r="76" spans="8:33" x14ac:dyDescent="0.25">
      <c r="H76" s="1"/>
      <c r="J76" s="1"/>
      <c r="N76" s="1"/>
      <c r="Q76" s="1"/>
      <c r="AG76" s="49"/>
    </row>
    <row r="77" spans="8:33" x14ac:dyDescent="0.25">
      <c r="H77" s="1"/>
      <c r="J77" s="1"/>
      <c r="N77" s="1"/>
      <c r="Q77" s="1"/>
      <c r="AG77" s="49"/>
    </row>
    <row r="78" spans="8:33" x14ac:dyDescent="0.25">
      <c r="H78" s="1"/>
      <c r="J78" s="1"/>
      <c r="N78" s="1"/>
      <c r="Q78" s="1"/>
      <c r="AG78" s="49"/>
    </row>
    <row r="79" spans="8:33" x14ac:dyDescent="0.25">
      <c r="H79" s="1"/>
      <c r="J79" s="1"/>
      <c r="N79" s="1"/>
      <c r="Q79" s="1"/>
      <c r="AG79" s="49"/>
    </row>
    <row r="80" spans="8:33" x14ac:dyDescent="0.25">
      <c r="H80" s="1"/>
      <c r="J80" s="1"/>
      <c r="N80" s="1"/>
      <c r="Q80" s="1"/>
      <c r="AG80" s="49"/>
    </row>
    <row r="81" spans="8:33" x14ac:dyDescent="0.25">
      <c r="H81" s="1"/>
      <c r="J81" s="1"/>
      <c r="N81" s="1"/>
      <c r="Q81" s="1"/>
      <c r="AG81" s="49"/>
    </row>
    <row r="82" spans="8:33" x14ac:dyDescent="0.25">
      <c r="H82" s="1"/>
      <c r="J82" s="1"/>
      <c r="N82" s="1"/>
      <c r="Q82" s="1"/>
      <c r="AG82" s="49"/>
    </row>
    <row r="83" spans="8:33" x14ac:dyDescent="0.25">
      <c r="H83" s="1"/>
      <c r="J83" s="1"/>
      <c r="N83" s="1"/>
      <c r="Q83" s="1"/>
      <c r="AG83" s="49"/>
    </row>
    <row r="84" spans="8:33" x14ac:dyDescent="0.25">
      <c r="H84" s="1"/>
      <c r="J84" s="1"/>
      <c r="N84" s="1"/>
      <c r="Q84" s="1"/>
      <c r="AG84" s="49"/>
    </row>
    <row r="85" spans="8:33" x14ac:dyDescent="0.25">
      <c r="H85" s="1"/>
      <c r="J85" s="1"/>
      <c r="N85" s="1"/>
      <c r="Q85" s="1"/>
      <c r="AG85" s="49"/>
    </row>
    <row r="86" spans="8:33" x14ac:dyDescent="0.25">
      <c r="H86" s="1"/>
      <c r="J86" s="1"/>
      <c r="N86" s="1"/>
      <c r="Q86" s="1"/>
      <c r="AG86" s="49"/>
    </row>
    <row r="87" spans="8:33" x14ac:dyDescent="0.25">
      <c r="H87" s="1"/>
      <c r="J87" s="1"/>
      <c r="N87" s="1"/>
      <c r="Q87" s="1"/>
      <c r="AG87" s="49"/>
    </row>
    <row r="88" spans="8:33" x14ac:dyDescent="0.25">
      <c r="H88" s="1"/>
      <c r="J88" s="1"/>
      <c r="N88" s="1"/>
      <c r="Q88" s="1"/>
      <c r="AG88" s="49"/>
    </row>
    <row r="89" spans="8:33" x14ac:dyDescent="0.25">
      <c r="H89" s="1"/>
      <c r="J89" s="1"/>
      <c r="N89" s="1"/>
      <c r="Q89" s="1"/>
      <c r="AG89" s="49"/>
    </row>
    <row r="90" spans="8:33" x14ac:dyDescent="0.25">
      <c r="H90" s="1"/>
      <c r="J90" s="1"/>
      <c r="N90" s="1"/>
      <c r="Q90" s="1"/>
      <c r="AG90" s="49"/>
    </row>
    <row r="91" spans="8:33" x14ac:dyDescent="0.25">
      <c r="H91" s="1"/>
      <c r="J91" s="1"/>
      <c r="N91" s="1"/>
      <c r="Q91" s="1"/>
      <c r="AG91" s="49"/>
    </row>
    <row r="92" spans="8:33" x14ac:dyDescent="0.25">
      <c r="H92" s="1"/>
      <c r="J92" s="1"/>
      <c r="N92" s="1"/>
      <c r="Q92" s="1"/>
      <c r="AG92" s="49"/>
    </row>
    <row r="93" spans="8:33" x14ac:dyDescent="0.25">
      <c r="H93" s="1"/>
      <c r="J93" s="1"/>
      <c r="N93" s="1"/>
      <c r="Q93" s="1"/>
      <c r="AG93" s="49"/>
    </row>
    <row r="94" spans="8:33" x14ac:dyDescent="0.25">
      <c r="H94" s="1"/>
      <c r="J94" s="1"/>
      <c r="N94" s="1"/>
      <c r="Q94" s="1"/>
      <c r="AG94" s="49"/>
    </row>
    <row r="95" spans="8:33" x14ac:dyDescent="0.25">
      <c r="H95" s="1"/>
      <c r="J95" s="1"/>
      <c r="N95" s="1"/>
      <c r="Q95" s="1"/>
      <c r="AG95" s="49"/>
    </row>
    <row r="96" spans="8:33" x14ac:dyDescent="0.25">
      <c r="H96" s="1"/>
      <c r="J96" s="1"/>
      <c r="N96" s="1"/>
      <c r="Q96" s="1"/>
      <c r="AG96" s="49"/>
    </row>
    <row r="97" spans="8:33" x14ac:dyDescent="0.25">
      <c r="H97" s="1"/>
      <c r="J97" s="1"/>
      <c r="N97" s="1"/>
      <c r="Q97" s="1"/>
      <c r="AG97" s="49"/>
    </row>
    <row r="98" spans="8:33" x14ac:dyDescent="0.25">
      <c r="H98" s="1"/>
      <c r="J98" s="1"/>
      <c r="N98" s="1"/>
      <c r="Q98" s="1"/>
      <c r="AG98" s="49"/>
    </row>
    <row r="99" spans="8:33" x14ac:dyDescent="0.25">
      <c r="H99" s="1"/>
      <c r="J99" s="1"/>
      <c r="N99" s="1"/>
      <c r="Q99" s="1"/>
      <c r="AG99" s="49"/>
    </row>
    <row r="100" spans="8:33" x14ac:dyDescent="0.25">
      <c r="H100" s="1"/>
      <c r="J100" s="1"/>
      <c r="N100" s="1"/>
      <c r="Q100" s="1"/>
      <c r="AG100" s="49"/>
    </row>
    <row r="101" spans="8:33" x14ac:dyDescent="0.25">
      <c r="H101" s="1"/>
      <c r="J101" s="1"/>
      <c r="N101" s="1"/>
      <c r="Q101" s="1"/>
      <c r="AG101" s="49"/>
    </row>
    <row r="102" spans="8:33" x14ac:dyDescent="0.25">
      <c r="H102" s="1"/>
      <c r="J102" s="1"/>
      <c r="N102" s="1"/>
      <c r="Q102" s="1"/>
      <c r="AG102" s="49"/>
    </row>
    <row r="103" spans="8:33" x14ac:dyDescent="0.25">
      <c r="H103" s="1"/>
      <c r="J103" s="1"/>
      <c r="N103" s="1"/>
      <c r="Q103" s="1"/>
      <c r="AG103" s="49"/>
    </row>
    <row r="104" spans="8:33" x14ac:dyDescent="0.25">
      <c r="H104" s="1"/>
      <c r="J104" s="1"/>
      <c r="N104" s="1"/>
      <c r="Q104" s="1"/>
      <c r="AG104" s="49"/>
    </row>
    <row r="105" spans="8:33" x14ac:dyDescent="0.25">
      <c r="H105" s="1"/>
      <c r="J105" s="1"/>
      <c r="N105" s="1"/>
      <c r="Q105" s="1"/>
      <c r="AG105" s="49"/>
    </row>
    <row r="106" spans="8:33" x14ac:dyDescent="0.25">
      <c r="H106" s="1"/>
      <c r="J106" s="1"/>
      <c r="N106" s="1"/>
      <c r="Q106" s="1"/>
      <c r="AG106" s="49"/>
    </row>
    <row r="107" spans="8:33" x14ac:dyDescent="0.25">
      <c r="H107" s="1"/>
      <c r="J107" s="1"/>
      <c r="N107" s="1"/>
      <c r="Q107" s="1"/>
      <c r="AG107" s="49"/>
    </row>
    <row r="108" spans="8:33" x14ac:dyDescent="0.25">
      <c r="H108" s="1"/>
      <c r="J108" s="1"/>
      <c r="N108" s="1"/>
      <c r="Q108" s="1"/>
      <c r="AG108" s="49"/>
    </row>
    <row r="109" spans="8:33" x14ac:dyDescent="0.25">
      <c r="H109" s="1"/>
      <c r="J109" s="1"/>
      <c r="N109" s="1"/>
      <c r="Q109" s="1"/>
      <c r="AG109" s="49"/>
    </row>
    <row r="110" spans="8:33" x14ac:dyDescent="0.25">
      <c r="H110" s="1"/>
      <c r="J110" s="1"/>
      <c r="N110" s="1"/>
      <c r="Q110" s="1"/>
      <c r="AG110" s="49"/>
    </row>
    <row r="111" spans="8:33" x14ac:dyDescent="0.25">
      <c r="H111" s="1"/>
      <c r="J111" s="1"/>
      <c r="N111" s="1"/>
      <c r="Q111" s="1"/>
      <c r="AG111" s="49"/>
    </row>
    <row r="112" spans="8:33" x14ac:dyDescent="0.25">
      <c r="H112" s="1"/>
      <c r="J112" s="1"/>
      <c r="N112" s="1"/>
      <c r="Q112" s="1"/>
      <c r="AG112" s="49"/>
    </row>
    <row r="113" spans="8:33" x14ac:dyDescent="0.25">
      <c r="H113" s="1"/>
      <c r="J113" s="1"/>
      <c r="N113" s="1"/>
      <c r="Q113" s="1"/>
      <c r="AG113" s="49"/>
    </row>
    <row r="114" spans="8:33" x14ac:dyDescent="0.25">
      <c r="H114" s="1"/>
      <c r="J114" s="1"/>
      <c r="N114" s="1"/>
      <c r="Q114" s="1"/>
      <c r="AG114" s="49"/>
    </row>
    <row r="115" spans="8:33" x14ac:dyDescent="0.25">
      <c r="H115" s="1"/>
      <c r="J115" s="1"/>
      <c r="N115" s="1"/>
      <c r="Q115" s="1"/>
      <c r="AG115" s="49"/>
    </row>
    <row r="116" spans="8:33" x14ac:dyDescent="0.25">
      <c r="H116" s="1"/>
      <c r="J116" s="1"/>
      <c r="N116" s="1"/>
      <c r="Q116" s="1"/>
      <c r="AG116" s="49"/>
    </row>
    <row r="117" spans="8:33" x14ac:dyDescent="0.25">
      <c r="H117" s="1"/>
      <c r="J117" s="1"/>
      <c r="N117" s="1"/>
      <c r="Q117" s="1"/>
      <c r="AG117" s="49"/>
    </row>
    <row r="118" spans="8:33" x14ac:dyDescent="0.25">
      <c r="H118" s="1"/>
      <c r="J118" s="1"/>
      <c r="N118" s="1"/>
      <c r="Q118" s="1"/>
      <c r="AG118" s="49"/>
    </row>
    <row r="119" spans="8:33" x14ac:dyDescent="0.25">
      <c r="H119" s="1"/>
      <c r="J119" s="1"/>
      <c r="N119" s="1"/>
      <c r="Q119" s="1"/>
      <c r="AG119" s="49"/>
    </row>
    <row r="120" spans="8:33" x14ac:dyDescent="0.25">
      <c r="H120" s="1"/>
      <c r="J120" s="1"/>
      <c r="N120" s="1"/>
      <c r="Q120" s="1"/>
      <c r="AG120" s="49"/>
    </row>
    <row r="121" spans="8:33" x14ac:dyDescent="0.25">
      <c r="H121" s="1"/>
      <c r="J121" s="1"/>
      <c r="N121" s="1"/>
      <c r="Q121" s="1"/>
      <c r="AG121" s="49"/>
    </row>
    <row r="122" spans="8:33" x14ac:dyDescent="0.25">
      <c r="H122" s="1"/>
      <c r="J122" s="1"/>
      <c r="N122" s="1"/>
      <c r="Q122" s="1"/>
      <c r="AG122" s="49"/>
    </row>
    <row r="123" spans="8:33" x14ac:dyDescent="0.25">
      <c r="H123" s="1"/>
      <c r="J123" s="1"/>
      <c r="N123" s="1"/>
      <c r="Q123" s="1"/>
      <c r="AG123" s="49"/>
    </row>
    <row r="124" spans="8:33" x14ac:dyDescent="0.25">
      <c r="H124" s="1"/>
      <c r="J124" s="1"/>
      <c r="N124" s="1"/>
      <c r="Q124" s="1"/>
      <c r="AG124" s="49"/>
    </row>
    <row r="125" spans="8:33" x14ac:dyDescent="0.25">
      <c r="H125" s="1"/>
      <c r="J125" s="1"/>
      <c r="N125" s="1"/>
      <c r="Q125" s="1"/>
      <c r="AG125" s="49"/>
    </row>
    <row r="126" spans="8:33" x14ac:dyDescent="0.25">
      <c r="H126" s="1"/>
      <c r="J126" s="1"/>
      <c r="N126" s="1"/>
      <c r="Q126" s="1"/>
      <c r="AG126" s="49"/>
    </row>
    <row r="127" spans="8:33" x14ac:dyDescent="0.25">
      <c r="H127" s="1"/>
      <c r="J127" s="1"/>
      <c r="N127" s="1"/>
      <c r="Q127" s="1"/>
      <c r="AG127" s="49"/>
    </row>
    <row r="128" spans="8:33" x14ac:dyDescent="0.25">
      <c r="H128" s="1"/>
      <c r="J128" s="1"/>
      <c r="N128" s="1"/>
      <c r="Q128" s="1"/>
      <c r="AG128" s="49"/>
    </row>
    <row r="129" spans="8:33" x14ac:dyDescent="0.25">
      <c r="H129" s="1"/>
      <c r="J129" s="1"/>
      <c r="N129" s="1"/>
      <c r="Q129" s="1"/>
      <c r="AG129" s="49"/>
    </row>
    <row r="130" spans="8:33" x14ac:dyDescent="0.25">
      <c r="H130" s="1"/>
      <c r="J130" s="1"/>
      <c r="N130" s="1"/>
      <c r="Q130" s="1"/>
      <c r="AG130" s="49"/>
    </row>
    <row r="131" spans="8:33" x14ac:dyDescent="0.25">
      <c r="H131" s="1"/>
      <c r="J131" s="1"/>
      <c r="N131" s="1"/>
      <c r="Q131" s="1"/>
      <c r="AG131" s="49"/>
    </row>
    <row r="132" spans="8:33" x14ac:dyDescent="0.25">
      <c r="H132" s="1"/>
      <c r="J132" s="1"/>
      <c r="N132" s="1"/>
      <c r="Q132" s="1"/>
      <c r="AG132" s="49"/>
    </row>
    <row r="133" spans="8:33" x14ac:dyDescent="0.25">
      <c r="H133" s="1"/>
      <c r="J133" s="1"/>
      <c r="N133" s="1"/>
      <c r="Q133" s="1"/>
      <c r="AG133" s="49"/>
    </row>
    <row r="134" spans="8:33" x14ac:dyDescent="0.25">
      <c r="H134" s="1"/>
      <c r="J134" s="1"/>
      <c r="N134" s="1"/>
      <c r="Q134" s="1"/>
      <c r="AG134" s="49"/>
    </row>
    <row r="135" spans="8:33" x14ac:dyDescent="0.25">
      <c r="H135" s="1"/>
      <c r="J135" s="1"/>
      <c r="N135" s="1"/>
      <c r="Q135" s="1"/>
      <c r="AG135" s="49"/>
    </row>
    <row r="136" spans="8:33" x14ac:dyDescent="0.25">
      <c r="H136" s="1"/>
      <c r="J136" s="1"/>
      <c r="N136" s="1"/>
      <c r="Q136" s="1"/>
      <c r="AG136" s="49"/>
    </row>
    <row r="137" spans="8:33" x14ac:dyDescent="0.25">
      <c r="H137" s="1"/>
      <c r="J137" s="1"/>
      <c r="N137" s="1"/>
      <c r="Q137" s="1"/>
      <c r="AG137" s="49"/>
    </row>
    <row r="138" spans="8:33" x14ac:dyDescent="0.25">
      <c r="H138" s="1"/>
      <c r="J138" s="1"/>
      <c r="N138" s="1"/>
      <c r="Q138" s="1"/>
      <c r="AG138" s="49"/>
    </row>
    <row r="139" spans="8:33" x14ac:dyDescent="0.25">
      <c r="H139" s="1"/>
      <c r="J139" s="1"/>
      <c r="N139" s="1"/>
      <c r="Q139" s="1"/>
      <c r="AG139" s="49"/>
    </row>
    <row r="140" spans="8:33" x14ac:dyDescent="0.25">
      <c r="H140" s="1"/>
      <c r="J140" s="1"/>
      <c r="N140" s="1"/>
      <c r="Q140" s="1"/>
      <c r="AG140" s="49"/>
    </row>
    <row r="141" spans="8:33" x14ac:dyDescent="0.25">
      <c r="H141" s="1"/>
      <c r="J141" s="1"/>
      <c r="N141" s="1"/>
      <c r="Q141" s="1"/>
      <c r="AG141" s="49"/>
    </row>
    <row r="142" spans="8:33" x14ac:dyDescent="0.25">
      <c r="H142" s="1"/>
      <c r="J142" s="1"/>
      <c r="N142" s="1"/>
      <c r="Q142" s="1"/>
      <c r="AG142" s="49"/>
    </row>
    <row r="143" spans="8:33" x14ac:dyDescent="0.25">
      <c r="H143" s="1"/>
      <c r="J143" s="1"/>
      <c r="N143" s="1"/>
      <c r="Q143" s="1"/>
      <c r="AG143" s="49"/>
    </row>
    <row r="144" spans="8:33" x14ac:dyDescent="0.25">
      <c r="H144" s="1"/>
      <c r="J144" s="1"/>
      <c r="N144" s="1"/>
      <c r="Q144" s="1"/>
      <c r="AG144" s="49"/>
    </row>
    <row r="145" spans="8:33" x14ac:dyDescent="0.25">
      <c r="H145" s="1"/>
      <c r="J145" s="1"/>
      <c r="N145" s="1"/>
      <c r="Q145" s="1"/>
      <c r="AG145" s="49"/>
    </row>
    <row r="146" spans="8:33" x14ac:dyDescent="0.25">
      <c r="H146" s="1"/>
      <c r="J146" s="1"/>
      <c r="N146" s="1"/>
      <c r="Q146" s="1"/>
      <c r="AG146" s="49"/>
    </row>
    <row r="147" spans="8:33" x14ac:dyDescent="0.25">
      <c r="H147" s="1"/>
      <c r="J147" s="1"/>
      <c r="N147" s="1"/>
      <c r="Q147" s="1"/>
      <c r="AG147" s="49"/>
    </row>
    <row r="148" spans="8:33" x14ac:dyDescent="0.25">
      <c r="H148" s="1"/>
      <c r="J148" s="1"/>
      <c r="N148" s="1"/>
      <c r="Q148" s="1"/>
      <c r="AG148" s="49"/>
    </row>
    <row r="149" spans="8:33" x14ac:dyDescent="0.25">
      <c r="H149" s="1"/>
      <c r="J149" s="1"/>
      <c r="N149" s="1"/>
      <c r="Q149" s="1"/>
      <c r="AG149" s="49"/>
    </row>
    <row r="150" spans="8:33" x14ac:dyDescent="0.25">
      <c r="H150" s="1"/>
      <c r="J150" s="1"/>
      <c r="N150" s="1"/>
      <c r="Q150" s="1"/>
      <c r="AG150" s="49"/>
    </row>
    <row r="151" spans="8:33" x14ac:dyDescent="0.25">
      <c r="H151" s="1"/>
      <c r="J151" s="1"/>
      <c r="N151" s="1"/>
      <c r="Q151" s="1"/>
      <c r="AG151" s="49"/>
    </row>
    <row r="152" spans="8:33" x14ac:dyDescent="0.25">
      <c r="H152" s="1"/>
      <c r="J152" s="1"/>
      <c r="N152" s="1"/>
      <c r="Q152" s="1"/>
      <c r="AG152" s="49"/>
    </row>
    <row r="153" spans="8:33" x14ac:dyDescent="0.25">
      <c r="H153" s="1"/>
      <c r="J153" s="1"/>
      <c r="N153" s="1"/>
      <c r="Q153" s="1"/>
      <c r="AG153" s="49"/>
    </row>
    <row r="154" spans="8:33" x14ac:dyDescent="0.25">
      <c r="H154" s="1"/>
      <c r="J154" s="1"/>
      <c r="N154" s="1"/>
      <c r="Q154" s="1"/>
      <c r="AG154" s="49"/>
    </row>
    <row r="155" spans="8:33" x14ac:dyDescent="0.25">
      <c r="H155" s="1"/>
      <c r="J155" s="1"/>
      <c r="N155" s="1"/>
      <c r="Q155" s="1"/>
      <c r="AG155" s="49"/>
    </row>
    <row r="156" spans="8:33" x14ac:dyDescent="0.25">
      <c r="H156" s="1"/>
      <c r="J156" s="1"/>
      <c r="N156" s="1"/>
      <c r="Q156" s="1"/>
      <c r="AG156" s="49"/>
    </row>
    <row r="157" spans="8:33" x14ac:dyDescent="0.25">
      <c r="H157" s="1"/>
      <c r="J157" s="1"/>
      <c r="N157" s="1"/>
      <c r="Q157" s="1"/>
      <c r="AG157" s="49"/>
    </row>
    <row r="158" spans="8:33" x14ac:dyDescent="0.25">
      <c r="H158" s="1"/>
      <c r="J158" s="1"/>
      <c r="N158" s="1"/>
      <c r="Q158" s="1"/>
      <c r="AG158" s="49"/>
    </row>
    <row r="159" spans="8:33" x14ac:dyDescent="0.25">
      <c r="H159" s="1"/>
      <c r="J159" s="1"/>
      <c r="N159" s="1"/>
      <c r="Q159" s="1"/>
      <c r="AG159" s="49"/>
    </row>
    <row r="160" spans="8:33" x14ac:dyDescent="0.25">
      <c r="H160" s="1"/>
      <c r="J160" s="1"/>
      <c r="N160" s="1"/>
      <c r="Q160" s="1"/>
      <c r="AG160" s="49"/>
    </row>
    <row r="161" spans="8:33" x14ac:dyDescent="0.25">
      <c r="H161" s="1"/>
      <c r="J161" s="1"/>
      <c r="N161" s="1"/>
      <c r="Q161" s="1"/>
      <c r="AG161" s="49"/>
    </row>
    <row r="162" spans="8:33" x14ac:dyDescent="0.25">
      <c r="H162" s="1"/>
      <c r="J162" s="1"/>
      <c r="N162" s="1"/>
      <c r="Q162" s="1"/>
      <c r="AG162" s="49"/>
    </row>
    <row r="163" spans="8:33" x14ac:dyDescent="0.25">
      <c r="H163" s="1"/>
      <c r="J163" s="1"/>
      <c r="N163" s="1"/>
      <c r="Q163" s="1"/>
      <c r="AG163" s="49"/>
    </row>
    <row r="164" spans="8:33" x14ac:dyDescent="0.25">
      <c r="H164" s="1"/>
      <c r="J164" s="1"/>
      <c r="N164" s="1"/>
      <c r="Q164" s="1"/>
      <c r="AG164" s="49"/>
    </row>
    <row r="165" spans="8:33" x14ac:dyDescent="0.25">
      <c r="H165" s="1"/>
      <c r="J165" s="1"/>
      <c r="N165" s="1"/>
      <c r="Q165" s="1"/>
      <c r="AG165" s="49"/>
    </row>
    <row r="166" spans="8:33" x14ac:dyDescent="0.25">
      <c r="H166" s="1"/>
      <c r="J166" s="1"/>
      <c r="N166" s="1"/>
      <c r="Q166" s="1"/>
      <c r="AG166" s="49"/>
    </row>
    <row r="167" spans="8:33" x14ac:dyDescent="0.25">
      <c r="H167" s="1"/>
      <c r="J167" s="1"/>
      <c r="N167" s="1"/>
      <c r="Q167" s="1"/>
      <c r="AG167" s="49"/>
    </row>
    <row r="168" spans="8:33" x14ac:dyDescent="0.25">
      <c r="H168" s="1"/>
      <c r="J168" s="1"/>
      <c r="N168" s="1"/>
      <c r="Q168" s="1"/>
      <c r="AG168" s="49"/>
    </row>
    <row r="169" spans="8:33" x14ac:dyDescent="0.25">
      <c r="H169" s="1"/>
      <c r="J169" s="1"/>
      <c r="N169" s="1"/>
      <c r="Q169" s="1"/>
      <c r="AG169" s="49"/>
    </row>
    <row r="170" spans="8:33" x14ac:dyDescent="0.25">
      <c r="H170" s="1"/>
      <c r="J170" s="1"/>
      <c r="N170" s="1"/>
      <c r="Q170" s="1"/>
      <c r="AG170" s="49"/>
    </row>
    <row r="171" spans="8:33" x14ac:dyDescent="0.25">
      <c r="H171" s="1"/>
      <c r="J171" s="1"/>
      <c r="N171" s="1"/>
      <c r="Q171" s="1"/>
      <c r="AG171" s="49"/>
    </row>
    <row r="172" spans="8:33" x14ac:dyDescent="0.25">
      <c r="H172" s="1"/>
      <c r="J172" s="1"/>
      <c r="N172" s="1"/>
      <c r="Q172" s="1"/>
      <c r="AG172" s="49"/>
    </row>
    <row r="173" spans="8:33" x14ac:dyDescent="0.25">
      <c r="H173" s="1"/>
      <c r="J173" s="1"/>
      <c r="N173" s="1"/>
      <c r="Q173" s="1"/>
      <c r="AG173" s="49"/>
    </row>
    <row r="174" spans="8:33" x14ac:dyDescent="0.25">
      <c r="H174" s="1"/>
      <c r="J174" s="1"/>
      <c r="N174" s="1"/>
      <c r="Q174" s="1"/>
      <c r="AG174" s="49"/>
    </row>
    <row r="175" spans="8:33" x14ac:dyDescent="0.25">
      <c r="H175" s="1"/>
      <c r="J175" s="1"/>
      <c r="N175" s="1"/>
      <c r="Q175" s="1"/>
      <c r="AG175" s="49"/>
    </row>
    <row r="176" spans="8:33" x14ac:dyDescent="0.25">
      <c r="H176" s="1"/>
      <c r="J176" s="1"/>
      <c r="N176" s="1"/>
      <c r="Q176" s="1"/>
      <c r="AG176" s="49"/>
    </row>
    <row r="177" spans="8:33" x14ac:dyDescent="0.25">
      <c r="H177" s="1"/>
      <c r="J177" s="1"/>
      <c r="N177" s="1"/>
      <c r="Q177" s="1"/>
      <c r="AG177" s="49"/>
    </row>
    <row r="178" spans="8:33" x14ac:dyDescent="0.25">
      <c r="H178" s="1"/>
      <c r="J178" s="1"/>
      <c r="N178" s="1"/>
      <c r="Q178" s="1"/>
      <c r="AG178" s="49"/>
    </row>
    <row r="179" spans="8:33" x14ac:dyDescent="0.25">
      <c r="H179" s="1"/>
      <c r="J179" s="1"/>
      <c r="N179" s="1"/>
      <c r="Q179" s="1"/>
      <c r="AG179" s="49"/>
    </row>
    <row r="180" spans="8:33" x14ac:dyDescent="0.25">
      <c r="H180" s="1"/>
      <c r="J180" s="1"/>
      <c r="N180" s="1"/>
      <c r="Q180" s="1"/>
      <c r="AG180" s="49"/>
    </row>
    <row r="181" spans="8:33" x14ac:dyDescent="0.25">
      <c r="H181" s="1"/>
      <c r="J181" s="1"/>
      <c r="N181" s="1"/>
      <c r="Q181" s="1"/>
      <c r="AG181" s="49"/>
    </row>
    <row r="182" spans="8:33" x14ac:dyDescent="0.25">
      <c r="H182" s="1"/>
      <c r="J182" s="1"/>
      <c r="N182" s="1"/>
      <c r="Q182" s="1"/>
      <c r="AG182" s="49"/>
    </row>
    <row r="183" spans="8:33" x14ac:dyDescent="0.25">
      <c r="H183" s="1"/>
      <c r="J183" s="1"/>
      <c r="N183" s="1"/>
      <c r="Q183" s="1"/>
      <c r="AG183" s="49"/>
    </row>
    <row r="184" spans="8:33" x14ac:dyDescent="0.25">
      <c r="H184" s="1"/>
      <c r="J184" s="1"/>
      <c r="N184" s="1"/>
      <c r="Q184" s="1"/>
      <c r="AG184" s="49"/>
    </row>
    <row r="185" spans="8:33" x14ac:dyDescent="0.25">
      <c r="H185" s="1"/>
      <c r="J185" s="1"/>
      <c r="N185" s="1"/>
      <c r="Q185" s="1"/>
      <c r="AG185" s="49"/>
    </row>
    <row r="186" spans="8:33" x14ac:dyDescent="0.25">
      <c r="H186" s="1"/>
      <c r="J186" s="1"/>
      <c r="N186" s="1"/>
      <c r="Q186" s="1"/>
      <c r="AG186" s="49"/>
    </row>
    <row r="187" spans="8:33" x14ac:dyDescent="0.25">
      <c r="H187" s="1"/>
      <c r="J187" s="1"/>
      <c r="N187" s="1"/>
      <c r="Q187" s="1"/>
      <c r="AG187" s="49"/>
    </row>
    <row r="188" spans="8:33" x14ac:dyDescent="0.25">
      <c r="H188" s="1"/>
      <c r="J188" s="1"/>
      <c r="N188" s="1"/>
      <c r="Q188" s="1"/>
      <c r="AG188" s="49"/>
    </row>
    <row r="189" spans="8:33" x14ac:dyDescent="0.25">
      <c r="H189" s="1"/>
      <c r="J189" s="1"/>
      <c r="N189" s="1"/>
      <c r="Q189" s="1"/>
      <c r="AG189" s="49"/>
    </row>
    <row r="190" spans="8:33" x14ac:dyDescent="0.25">
      <c r="H190" s="1"/>
      <c r="J190" s="1"/>
      <c r="N190" s="1"/>
      <c r="Q190" s="1"/>
      <c r="AG190" s="49"/>
    </row>
    <row r="191" spans="8:33" x14ac:dyDescent="0.25">
      <c r="H191" s="1"/>
      <c r="J191" s="1"/>
      <c r="N191" s="1"/>
      <c r="Q191" s="1"/>
      <c r="AG191" s="49"/>
    </row>
    <row r="192" spans="8:33" x14ac:dyDescent="0.25">
      <c r="H192" s="1"/>
      <c r="J192" s="1"/>
      <c r="N192" s="1"/>
      <c r="Q192" s="1"/>
      <c r="AG192" s="49"/>
    </row>
    <row r="193" spans="8:33" x14ac:dyDescent="0.25">
      <c r="H193" s="1"/>
      <c r="J193" s="1"/>
      <c r="N193" s="1"/>
      <c r="Q193" s="1"/>
      <c r="AG193" s="49"/>
    </row>
    <row r="194" spans="8:33" x14ac:dyDescent="0.25">
      <c r="H194" s="1"/>
      <c r="J194" s="1"/>
      <c r="N194" s="1"/>
      <c r="Q194" s="1"/>
      <c r="AG194" s="49"/>
    </row>
    <row r="195" spans="8:33" x14ac:dyDescent="0.25">
      <c r="H195" s="1"/>
      <c r="J195" s="1"/>
      <c r="N195" s="1"/>
      <c r="Q195" s="1"/>
      <c r="AG195" s="49"/>
    </row>
    <row r="196" spans="8:33" x14ac:dyDescent="0.25">
      <c r="H196" s="1"/>
      <c r="J196" s="1"/>
      <c r="N196" s="1"/>
      <c r="Q196" s="1"/>
      <c r="AG196" s="49"/>
    </row>
    <row r="197" spans="8:33" x14ac:dyDescent="0.25">
      <c r="H197" s="1"/>
      <c r="J197" s="1"/>
      <c r="N197" s="1"/>
      <c r="Q197" s="1"/>
      <c r="AG197" s="49"/>
    </row>
    <row r="198" spans="8:33" x14ac:dyDescent="0.25">
      <c r="H198" s="1"/>
      <c r="J198" s="1"/>
      <c r="N198" s="1"/>
      <c r="Q198" s="1"/>
      <c r="AG198" s="49"/>
    </row>
    <row r="199" spans="8:33" x14ac:dyDescent="0.25">
      <c r="H199" s="1"/>
      <c r="J199" s="1"/>
      <c r="N199" s="1"/>
      <c r="Q199" s="1"/>
      <c r="AG199" s="49"/>
    </row>
    <row r="200" spans="8:33" x14ac:dyDescent="0.25">
      <c r="H200" s="1"/>
      <c r="J200" s="1"/>
      <c r="N200" s="1"/>
      <c r="Q200" s="1"/>
      <c r="AG200" s="49"/>
    </row>
    <row r="201" spans="8:33" x14ac:dyDescent="0.25">
      <c r="H201" s="1"/>
      <c r="J201" s="1"/>
      <c r="N201" s="1"/>
      <c r="Q201" s="1"/>
      <c r="AG201" s="49"/>
    </row>
    <row r="202" spans="8:33" x14ac:dyDescent="0.25">
      <c r="H202" s="1"/>
      <c r="J202" s="1"/>
      <c r="N202" s="1"/>
      <c r="Q202" s="1"/>
      <c r="AG202" s="49"/>
    </row>
    <row r="203" spans="8:33" x14ac:dyDescent="0.25">
      <c r="H203" s="1"/>
      <c r="J203" s="1"/>
      <c r="N203" s="1"/>
      <c r="Q203" s="1"/>
      <c r="AG203" s="49"/>
    </row>
    <row r="204" spans="8:33" x14ac:dyDescent="0.25">
      <c r="H204" s="1"/>
      <c r="J204" s="1"/>
      <c r="N204" s="1"/>
      <c r="Q204" s="1"/>
      <c r="AG204" s="49"/>
    </row>
    <row r="205" spans="8:33" x14ac:dyDescent="0.25">
      <c r="H205" s="1"/>
      <c r="J205" s="1"/>
      <c r="N205" s="1"/>
      <c r="Q205" s="1"/>
      <c r="AG205" s="49"/>
    </row>
    <row r="206" spans="8:33" x14ac:dyDescent="0.25">
      <c r="H206" s="1"/>
      <c r="J206" s="1"/>
      <c r="N206" s="1"/>
      <c r="Q206" s="1"/>
      <c r="AG206" s="49"/>
    </row>
    <row r="207" spans="8:33" x14ac:dyDescent="0.25">
      <c r="H207" s="1"/>
      <c r="J207" s="1"/>
      <c r="N207" s="1"/>
      <c r="Q207" s="1"/>
      <c r="AG207" s="49"/>
    </row>
    <row r="208" spans="8:33" x14ac:dyDescent="0.25">
      <c r="H208" s="1"/>
      <c r="J208" s="1"/>
      <c r="N208" s="1"/>
      <c r="Q208" s="1"/>
      <c r="AG208" s="49"/>
    </row>
    <row r="209" spans="8:33" x14ac:dyDescent="0.25">
      <c r="H209" s="1"/>
      <c r="J209" s="1"/>
      <c r="N209" s="1"/>
      <c r="Q209" s="1"/>
      <c r="AG209" s="49"/>
    </row>
    <row r="210" spans="8:33" x14ac:dyDescent="0.25">
      <c r="H210" s="1"/>
      <c r="J210" s="1"/>
      <c r="N210" s="1"/>
      <c r="Q210" s="1"/>
      <c r="AG210" s="49"/>
    </row>
    <row r="211" spans="8:33" x14ac:dyDescent="0.25">
      <c r="H211" s="1"/>
      <c r="J211" s="1"/>
      <c r="N211" s="1"/>
      <c r="Q211" s="1"/>
      <c r="AG211" s="49"/>
    </row>
    <row r="212" spans="8:33" x14ac:dyDescent="0.25">
      <c r="H212" s="1"/>
      <c r="J212" s="1"/>
      <c r="N212" s="1"/>
      <c r="Q212" s="1"/>
      <c r="AG212" s="49"/>
    </row>
    <row r="213" spans="8:33" x14ac:dyDescent="0.25">
      <c r="H213" s="1"/>
      <c r="J213" s="1"/>
      <c r="N213" s="1"/>
      <c r="Q213" s="1"/>
      <c r="AG213" s="49"/>
    </row>
    <row r="214" spans="8:33" x14ac:dyDescent="0.25">
      <c r="H214" s="1"/>
      <c r="J214" s="1"/>
      <c r="N214" s="1"/>
      <c r="Q214" s="1"/>
      <c r="AG214" s="49"/>
    </row>
    <row r="215" spans="8:33" x14ac:dyDescent="0.25">
      <c r="H215" s="1"/>
      <c r="J215" s="1"/>
      <c r="N215" s="1"/>
      <c r="Q215" s="1"/>
      <c r="AG215" s="49"/>
    </row>
    <row r="216" spans="8:33" x14ac:dyDescent="0.25">
      <c r="H216" s="1"/>
      <c r="J216" s="1"/>
      <c r="N216" s="1"/>
      <c r="Q216" s="1"/>
      <c r="AG216" s="49"/>
    </row>
    <row r="217" spans="8:33" x14ac:dyDescent="0.25">
      <c r="H217" s="1"/>
      <c r="J217" s="1"/>
      <c r="N217" s="1"/>
      <c r="Q217" s="1"/>
      <c r="AG217" s="49"/>
    </row>
    <row r="218" spans="8:33" x14ac:dyDescent="0.25">
      <c r="H218" s="1"/>
      <c r="J218" s="1"/>
      <c r="N218" s="1"/>
      <c r="Q218" s="1"/>
      <c r="AG218" s="49"/>
    </row>
    <row r="219" spans="8:33" x14ac:dyDescent="0.25">
      <c r="H219" s="1"/>
      <c r="J219" s="1"/>
      <c r="N219" s="1"/>
      <c r="Q219" s="1"/>
      <c r="AG219" s="49"/>
    </row>
    <row r="220" spans="8:33" x14ac:dyDescent="0.25">
      <c r="H220" s="1"/>
      <c r="J220" s="1"/>
      <c r="N220" s="1"/>
      <c r="Q220" s="1"/>
      <c r="AG220" s="49"/>
    </row>
    <row r="221" spans="8:33" x14ac:dyDescent="0.25">
      <c r="H221" s="1"/>
      <c r="J221" s="1"/>
      <c r="N221" s="1"/>
      <c r="Q221" s="1"/>
      <c r="AG221" s="49"/>
    </row>
    <row r="222" spans="8:33" x14ac:dyDescent="0.25">
      <c r="H222" s="1"/>
      <c r="J222" s="1"/>
      <c r="N222" s="1"/>
      <c r="Q222" s="1"/>
      <c r="AG222" s="49"/>
    </row>
    <row r="223" spans="8:33" x14ac:dyDescent="0.25">
      <c r="H223" s="1"/>
      <c r="J223" s="1"/>
      <c r="N223" s="1"/>
      <c r="Q223" s="1"/>
      <c r="AG223" s="49"/>
    </row>
    <row r="224" spans="8:33" x14ac:dyDescent="0.25">
      <c r="H224" s="1"/>
      <c r="J224" s="1"/>
      <c r="N224" s="1"/>
      <c r="Q224" s="1"/>
      <c r="AG224" s="49"/>
    </row>
    <row r="225" spans="8:33" x14ac:dyDescent="0.25">
      <c r="H225" s="1"/>
      <c r="J225" s="1"/>
      <c r="N225" s="1"/>
      <c r="Q225" s="1"/>
      <c r="AG225" s="49"/>
    </row>
    <row r="226" spans="8:33" x14ac:dyDescent="0.25">
      <c r="H226" s="1"/>
      <c r="J226" s="1"/>
      <c r="N226" s="1"/>
      <c r="Q226" s="1"/>
      <c r="AG226" s="49"/>
    </row>
    <row r="227" spans="8:33" x14ac:dyDescent="0.25">
      <c r="H227" s="1"/>
      <c r="J227" s="1"/>
      <c r="N227" s="1"/>
      <c r="Q227" s="1"/>
      <c r="AG227" s="49"/>
    </row>
    <row r="228" spans="8:33" x14ac:dyDescent="0.25">
      <c r="H228" s="1"/>
      <c r="J228" s="1"/>
      <c r="N228" s="1"/>
      <c r="Q228" s="1"/>
      <c r="AG228" s="49"/>
    </row>
    <row r="229" spans="8:33" x14ac:dyDescent="0.25">
      <c r="H229" s="1"/>
      <c r="J229" s="1"/>
      <c r="N229" s="1"/>
      <c r="Q229" s="1"/>
      <c r="AG229" s="49"/>
    </row>
    <row r="230" spans="8:33" x14ac:dyDescent="0.25">
      <c r="H230" s="1"/>
      <c r="J230" s="1"/>
      <c r="N230" s="1"/>
      <c r="Q230" s="1"/>
      <c r="AG230" s="49"/>
    </row>
    <row r="231" spans="8:33" x14ac:dyDescent="0.25">
      <c r="H231" s="1"/>
      <c r="J231" s="1"/>
      <c r="N231" s="1"/>
      <c r="Q231" s="1"/>
      <c r="AG231" s="49"/>
    </row>
    <row r="232" spans="8:33" x14ac:dyDescent="0.25">
      <c r="H232" s="1"/>
      <c r="J232" s="1"/>
      <c r="N232" s="1"/>
      <c r="Q232" s="1"/>
      <c r="AG232" s="49"/>
    </row>
    <row r="233" spans="8:33" x14ac:dyDescent="0.25">
      <c r="H233" s="1"/>
      <c r="J233" s="1"/>
      <c r="N233" s="1"/>
      <c r="Q233" s="1"/>
      <c r="AG233" s="49"/>
    </row>
    <row r="234" spans="8:33" x14ac:dyDescent="0.25">
      <c r="H234" s="1"/>
      <c r="J234" s="1"/>
      <c r="N234" s="1"/>
      <c r="Q234" s="1"/>
      <c r="AG234" s="49"/>
    </row>
    <row r="235" spans="8:33" x14ac:dyDescent="0.25">
      <c r="H235" s="1"/>
      <c r="J235" s="1"/>
      <c r="N235" s="1"/>
      <c r="Q235" s="1"/>
      <c r="AG235" s="49"/>
    </row>
    <row r="236" spans="8:33" x14ac:dyDescent="0.25">
      <c r="H236" s="1"/>
      <c r="J236" s="1"/>
      <c r="N236" s="1"/>
      <c r="Q236" s="1"/>
      <c r="AG236" s="49"/>
    </row>
    <row r="237" spans="8:33" x14ac:dyDescent="0.25">
      <c r="H237" s="1"/>
      <c r="J237" s="1"/>
      <c r="N237" s="1"/>
      <c r="Q237" s="1"/>
      <c r="AG237" s="49"/>
    </row>
    <row r="238" spans="8:33" x14ac:dyDescent="0.25">
      <c r="H238" s="1"/>
      <c r="J238" s="1"/>
      <c r="N238" s="1"/>
      <c r="Q238" s="1"/>
      <c r="AG238" s="49"/>
    </row>
    <row r="239" spans="8:33" x14ac:dyDescent="0.25">
      <c r="H239" s="1"/>
      <c r="J239" s="1"/>
      <c r="N239" s="1"/>
      <c r="Q239" s="1"/>
      <c r="AG239" s="49"/>
    </row>
    <row r="240" spans="8:33" x14ac:dyDescent="0.25">
      <c r="H240" s="1"/>
      <c r="J240" s="1"/>
      <c r="N240" s="1"/>
      <c r="Q240" s="1"/>
      <c r="AG240" s="49"/>
    </row>
    <row r="241" spans="8:33" x14ac:dyDescent="0.25">
      <c r="H241" s="1"/>
      <c r="J241" s="1"/>
      <c r="N241" s="1"/>
      <c r="Q241" s="1"/>
      <c r="AG241" s="49"/>
    </row>
    <row r="242" spans="8:33" x14ac:dyDescent="0.25">
      <c r="H242" s="1"/>
      <c r="J242" s="1"/>
      <c r="N242" s="1"/>
      <c r="Q242" s="1"/>
      <c r="AG242" s="49"/>
    </row>
    <row r="243" spans="8:33" x14ac:dyDescent="0.25">
      <c r="H243" s="1"/>
      <c r="J243" s="1"/>
      <c r="N243" s="1"/>
      <c r="Q243" s="1"/>
      <c r="AG243" s="49"/>
    </row>
    <row r="244" spans="8:33" x14ac:dyDescent="0.25">
      <c r="H244" s="1"/>
      <c r="J244" s="1"/>
      <c r="N244" s="1"/>
      <c r="Q244" s="1"/>
      <c r="AG244" s="49"/>
    </row>
    <row r="245" spans="8:33" x14ac:dyDescent="0.25">
      <c r="H245" s="1"/>
      <c r="J245" s="1"/>
      <c r="N245" s="1"/>
      <c r="Q245" s="1"/>
      <c r="AG245" s="49"/>
    </row>
    <row r="246" spans="8:33" x14ac:dyDescent="0.25">
      <c r="H246" s="1"/>
      <c r="J246" s="1"/>
      <c r="N246" s="1"/>
      <c r="Q246" s="1"/>
      <c r="AG246" s="49"/>
    </row>
    <row r="247" spans="8:33" x14ac:dyDescent="0.25">
      <c r="H247" s="1"/>
      <c r="J247" s="1"/>
      <c r="N247" s="1"/>
      <c r="Q247" s="1"/>
      <c r="AG247" s="49"/>
    </row>
    <row r="248" spans="8:33" x14ac:dyDescent="0.25">
      <c r="H248" s="1"/>
      <c r="J248" s="1"/>
      <c r="N248" s="1"/>
      <c r="Q248" s="1"/>
      <c r="AG248" s="49"/>
    </row>
  </sheetData>
  <sheetProtection password="EDEB"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B5:AG247">
    <sortCondition descending="1" ref="AG5:AG247"/>
  </sortState>
  <mergeCells count="3">
    <mergeCell ref="C3:AF3"/>
    <mergeCell ref="B2:AG2"/>
    <mergeCell ref="AI2:A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Botón9_Haga_clic_en">
                <anchor moveWithCells="1" sizeWithCells="1">
                  <from>
                    <xdr:col>33</xdr:col>
                    <xdr:colOff>542925</xdr:colOff>
                    <xdr:row>9</xdr:row>
                    <xdr:rowOff>171450</xdr:rowOff>
                  </from>
                  <to>
                    <xdr:col>35</xdr:col>
                    <xdr:colOff>28575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Botón13_Haga_clic_en">
                <anchor moveWithCells="1" sizeWithCells="1">
                  <from>
                    <xdr:col>33</xdr:col>
                    <xdr:colOff>514350</xdr:colOff>
                    <xdr:row>6</xdr:row>
                    <xdr:rowOff>76200</xdr:rowOff>
                  </from>
                  <to>
                    <xdr:col>35</xdr:col>
                    <xdr:colOff>200025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Hoja1!$B$81:$B$95</xm:f>
          </x14:formula1>
          <xm:sqref>AI5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H33"/>
  <sheetViews>
    <sheetView showGridLines="0" zoomScale="90" zoomScaleNormal="90" workbookViewId="0">
      <selection activeCell="C1" sqref="C1"/>
    </sheetView>
  </sheetViews>
  <sheetFormatPr baseColWidth="10" defaultRowHeight="12.75" customHeight="1" x14ac:dyDescent="0.25"/>
  <cols>
    <col min="1" max="1" width="7.85546875" customWidth="1"/>
    <col min="2" max="2" width="21.28515625" bestFit="1" customWidth="1"/>
    <col min="3" max="3" width="71" customWidth="1"/>
    <col min="4" max="4" width="13.28515625" style="71" customWidth="1"/>
    <col min="5" max="5" width="28.5703125" style="71" bestFit="1" customWidth="1"/>
    <col min="6" max="6" width="11.42578125" style="71"/>
    <col min="7" max="7" width="21.7109375" style="71" bestFit="1" customWidth="1"/>
    <col min="8" max="8" width="11.42578125" style="71"/>
  </cols>
  <sheetData>
    <row r="1" spans="2:5" ht="12.75" customHeight="1" thickBot="1" x14ac:dyDescent="0.3"/>
    <row r="2" spans="2:5" ht="18" customHeight="1" thickBot="1" x14ac:dyDescent="0.45">
      <c r="B2" s="97" t="s">
        <v>335</v>
      </c>
      <c r="C2" s="98"/>
      <c r="D2" s="96"/>
    </row>
    <row r="3" spans="2:5" ht="18" customHeight="1" thickBot="1" x14ac:dyDescent="0.3">
      <c r="B3" s="69" t="s">
        <v>2</v>
      </c>
      <c r="C3" s="70" t="s">
        <v>3</v>
      </c>
    </row>
    <row r="4" spans="2:5" ht="12.75" customHeight="1" x14ac:dyDescent="0.25">
      <c r="B4" s="180" t="str">
        <f>+HIPOTESIS!C4:C6</f>
        <v>Ingresos concentrados en proyectos a la medida</v>
      </c>
      <c r="C4" s="91" t="str">
        <f>+HLOOKUP(ESCENARIOS!$AI$5,Hoja1!$B$47:$P$77,Hoja1!Q48,FALSE)</f>
        <v/>
      </c>
      <c r="D4" s="71" t="str">
        <f>+IF(C4="","",1)</f>
        <v/>
      </c>
      <c r="E4" s="71" t="str">
        <f>+C4</f>
        <v/>
      </c>
    </row>
    <row r="5" spans="2:5" ht="12.75" customHeight="1" x14ac:dyDescent="0.25">
      <c r="B5" s="181"/>
      <c r="C5" s="66" t="str">
        <f>+HLOOKUP(ESCENARIOS!$AI$5,Hoja1!$B$47:$P$77,Hoja1!Q49,FALSE)</f>
        <v/>
      </c>
      <c r="D5" s="71" t="str">
        <f>+IF(C5="","",2)</f>
        <v/>
      </c>
      <c r="E5" s="71" t="str">
        <f t="shared" ref="E5:E33" si="0">+C5</f>
        <v/>
      </c>
    </row>
    <row r="6" spans="2:5" ht="12.75" customHeight="1" thickBot="1" x14ac:dyDescent="0.3">
      <c r="B6" s="182"/>
      <c r="C6" s="67" t="str">
        <f>+HLOOKUP(ESCENARIOS!$AI$5,Hoja1!$B$47:$P$77,Hoja1!Q50,FALSE)</f>
        <v/>
      </c>
      <c r="D6" s="71" t="str">
        <f>+IF(C6="","",3)</f>
        <v/>
      </c>
      <c r="E6" s="71" t="str">
        <f t="shared" si="0"/>
        <v/>
      </c>
    </row>
    <row r="7" spans="2:5" ht="12.75" customHeight="1" x14ac:dyDescent="0.25">
      <c r="B7" s="183" t="str">
        <f>+HIPOTESIS!C7:C9</f>
        <v>IA generativa y agentes en el desarrollo de software</v>
      </c>
      <c r="C7" s="91" t="str">
        <f>+HLOOKUP(ESCENARIOS!$AI$5,Hoja1!$B$47:$P$77,Hoja1!Q51,FALSE)</f>
        <v/>
      </c>
      <c r="D7" s="71" t="str">
        <f>+IF(C7="","",1)</f>
        <v/>
      </c>
      <c r="E7" s="71" t="str">
        <f t="shared" si="0"/>
        <v/>
      </c>
    </row>
    <row r="8" spans="2:5" ht="12.75" customHeight="1" x14ac:dyDescent="0.25">
      <c r="B8" s="184"/>
      <c r="C8" s="66" t="str">
        <f>+HLOOKUP(ESCENARIOS!$AI$5,Hoja1!$B$47:$P$77,Hoja1!Q52,FALSE)</f>
        <v/>
      </c>
      <c r="D8" s="71" t="str">
        <f>+IF(C8="","",2)</f>
        <v/>
      </c>
      <c r="E8" s="71" t="str">
        <f t="shared" si="0"/>
        <v/>
      </c>
    </row>
    <row r="9" spans="2:5" ht="12.75" customHeight="1" thickBot="1" x14ac:dyDescent="0.3">
      <c r="B9" s="185"/>
      <c r="C9" s="67" t="str">
        <f>+HLOOKUP(ESCENARIOS!$AI$5,Hoja1!$B$47:$P$77,Hoja1!Q53,FALSE)</f>
        <v/>
      </c>
      <c r="D9" s="71" t="str">
        <f>+IF(C9="","",3)</f>
        <v/>
      </c>
      <c r="E9" s="71" t="str">
        <f t="shared" si="0"/>
        <v/>
      </c>
    </row>
    <row r="10" spans="2:5" ht="12.75" customHeight="1" x14ac:dyDescent="0.25">
      <c r="B10" s="183" t="str">
        <f>+HIPOTESIS!C10:C12</f>
        <v>Nearshoring de servicios de software</v>
      </c>
      <c r="C10" s="68" t="str">
        <f>+HLOOKUP(ESCENARIOS!$AI$5,Hoja1!$B$47:$P$77,Hoja1!Q54,FALSE)</f>
        <v/>
      </c>
      <c r="D10" s="71" t="str">
        <f>+IF(C10="","",1)</f>
        <v/>
      </c>
      <c r="E10" s="71" t="str">
        <f t="shared" si="0"/>
        <v/>
      </c>
    </row>
    <row r="11" spans="2:5" ht="12.75" customHeight="1" x14ac:dyDescent="0.25">
      <c r="B11" s="184"/>
      <c r="C11" s="66" t="str">
        <f>+HLOOKUP(ESCENARIOS!$AI$5,Hoja1!$B$47:$P$77,Hoja1!Q55,FALSE)</f>
        <v/>
      </c>
      <c r="D11" s="71" t="str">
        <f>+IF(C11="","",2)</f>
        <v/>
      </c>
      <c r="E11" s="71" t="str">
        <f t="shared" si="0"/>
        <v/>
      </c>
    </row>
    <row r="12" spans="2:5" ht="12.75" customHeight="1" thickBot="1" x14ac:dyDescent="0.3">
      <c r="B12" s="185"/>
      <c r="C12" s="92" t="str">
        <f>+HLOOKUP(ESCENARIOS!$AI$5,Hoja1!$B$47:$P$77,Hoja1!Q56,FALSE)</f>
        <v/>
      </c>
      <c r="D12" s="71" t="str">
        <f>+IF(C12="","",3)</f>
        <v/>
      </c>
      <c r="E12" s="71" t="str">
        <f t="shared" si="0"/>
        <v/>
      </c>
    </row>
    <row r="13" spans="2:5" ht="12.75" customHeight="1" x14ac:dyDescent="0.25">
      <c r="B13" s="183" t="str">
        <f>+HIPOTESIS!C13:C15</f>
        <v>Brecha de talento TI</v>
      </c>
      <c r="C13" s="91" t="str">
        <f>+HLOOKUP(ESCENARIOS!$AI$5,Hoja1!$B$47:$P$77,Hoja1!Q57,FALSE)</f>
        <v/>
      </c>
      <c r="D13" s="71" t="str">
        <f>+IF(C13="","",1)</f>
        <v/>
      </c>
      <c r="E13" s="71" t="str">
        <f t="shared" si="0"/>
        <v/>
      </c>
    </row>
    <row r="14" spans="2:5" ht="12.75" customHeight="1" x14ac:dyDescent="0.25">
      <c r="B14" s="184"/>
      <c r="C14" s="66" t="str">
        <f>+HLOOKUP(ESCENARIOS!$AI$5,Hoja1!$B$47:$P$77,Hoja1!Q58,FALSE)</f>
        <v/>
      </c>
      <c r="D14" s="71" t="str">
        <f>+IF(C14="","",2)</f>
        <v/>
      </c>
      <c r="E14" s="71" t="str">
        <f t="shared" si="0"/>
        <v/>
      </c>
    </row>
    <row r="15" spans="2:5" ht="12.75" customHeight="1" thickBot="1" x14ac:dyDescent="0.3">
      <c r="B15" s="185"/>
      <c r="C15" s="67" t="str">
        <f>+HLOOKUP(ESCENARIOS!$AI$5,Hoja1!$B$47:$P$77,Hoja1!Q59,FALSE)</f>
        <v/>
      </c>
      <c r="D15" s="71" t="str">
        <f>+IF(C15="","",3)</f>
        <v/>
      </c>
      <c r="E15" s="71" t="str">
        <f t="shared" si="0"/>
        <v/>
      </c>
    </row>
    <row r="16" spans="2:5" ht="12.75" customHeight="1" x14ac:dyDescent="0.25">
      <c r="B16" s="183" t="str">
        <f>+HIPOTESIS!C16:C18</f>
        <v>Ciberseguridad y desarrollo seguro</v>
      </c>
      <c r="C16" s="91" t="str">
        <f>+HLOOKUP(ESCENARIOS!$AI$5,Hoja1!$B$47:$P$77,Hoja1!Q60,FALSE)</f>
        <v/>
      </c>
      <c r="D16" s="71" t="str">
        <f>+IF(C16="","",1)</f>
        <v/>
      </c>
      <c r="E16" s="71" t="str">
        <f t="shared" si="0"/>
        <v/>
      </c>
    </row>
    <row r="17" spans="2:5" ht="12.75" customHeight="1" x14ac:dyDescent="0.25">
      <c r="B17" s="184"/>
      <c r="C17" s="66" t="str">
        <f>+HLOOKUP(ESCENARIOS!$AI$5,Hoja1!$B$47:$P$77,Hoja1!Q61,FALSE)</f>
        <v/>
      </c>
      <c r="D17" s="71" t="str">
        <f>+IF(C17="","",2)</f>
        <v/>
      </c>
      <c r="E17" s="71" t="str">
        <f t="shared" si="0"/>
        <v/>
      </c>
    </row>
    <row r="18" spans="2:5" ht="12.75" customHeight="1" thickBot="1" x14ac:dyDescent="0.3">
      <c r="B18" s="185"/>
      <c r="C18" s="67" t="str">
        <f>+HLOOKUP(ESCENARIOS!$AI$5,Hoja1!$B$47:$P$77,Hoja1!Q62,FALSE)</f>
        <v/>
      </c>
      <c r="D18" s="71" t="str">
        <f>+IF(C18="","",3)</f>
        <v/>
      </c>
      <c r="E18" s="71" t="str">
        <f t="shared" si="0"/>
        <v/>
      </c>
    </row>
    <row r="19" spans="2:5" ht="12.75" customHeight="1" x14ac:dyDescent="0.25">
      <c r="B19" s="183" t="str">
        <f>+HIPOTESIS!C19:C21</f>
        <v>Cartera de clientes corporativos</v>
      </c>
      <c r="C19" s="91" t="str">
        <f>+HLOOKUP(ESCENARIOS!$AI$5,Hoja1!$B$47:$P$77,Hoja1!Q63,FALSE)</f>
        <v/>
      </c>
      <c r="D19" s="71" t="str">
        <f>+IF(C19="","",1)</f>
        <v/>
      </c>
      <c r="E19" s="71" t="str">
        <f t="shared" si="0"/>
        <v/>
      </c>
    </row>
    <row r="20" spans="2:5" ht="12.75" customHeight="1" x14ac:dyDescent="0.25">
      <c r="B20" s="184"/>
      <c r="C20" s="66" t="str">
        <f>+HLOOKUP(ESCENARIOS!$AI$5,Hoja1!$B$47:$P$77,Hoja1!Q64,FALSE)</f>
        <v/>
      </c>
      <c r="D20" s="71" t="str">
        <f>+IF(C20="","",2)</f>
        <v/>
      </c>
      <c r="E20" s="71" t="str">
        <f t="shared" si="0"/>
        <v/>
      </c>
    </row>
    <row r="21" spans="2:5" ht="12.75" customHeight="1" thickBot="1" x14ac:dyDescent="0.3">
      <c r="B21" s="185"/>
      <c r="C21" s="67" t="str">
        <f>+HLOOKUP(ESCENARIOS!$AI$5,Hoja1!$B$47:$P$77,Hoja1!Q65,FALSE)</f>
        <v/>
      </c>
      <c r="D21" s="71" t="str">
        <f>+IF(C21="","",3)</f>
        <v/>
      </c>
      <c r="E21" s="71" t="str">
        <f t="shared" si="0"/>
        <v/>
      </c>
    </row>
    <row r="22" spans="2:5" ht="12.75" customHeight="1" x14ac:dyDescent="0.25">
      <c r="B22" s="183" t="str">
        <f>+HIPOTESIS!C22:C24</f>
        <v>Presencia comercial internacional limitada</v>
      </c>
      <c r="C22" s="91" t="str">
        <f>+HLOOKUP(ESCENARIOS!$AI$5,Hoja1!$B$47:$P$77,Hoja1!Q66,FALSE)</f>
        <v/>
      </c>
      <c r="D22" s="71" t="str">
        <f>+IF(C22="","",1)</f>
        <v/>
      </c>
      <c r="E22" s="71" t="str">
        <f t="shared" si="0"/>
        <v/>
      </c>
    </row>
    <row r="23" spans="2:5" ht="12.75" customHeight="1" x14ac:dyDescent="0.25">
      <c r="B23" s="184"/>
      <c r="C23" s="66" t="str">
        <f>+HLOOKUP(ESCENARIOS!$AI$5,Hoja1!$B$47:$P$77,Hoja1!Q67,FALSE)</f>
        <v/>
      </c>
      <c r="D23" s="71" t="str">
        <f>+IF(C23="","",2)</f>
        <v/>
      </c>
      <c r="E23" s="71" t="str">
        <f t="shared" si="0"/>
        <v/>
      </c>
    </row>
    <row r="24" spans="2:5" ht="12.75" customHeight="1" thickBot="1" x14ac:dyDescent="0.3">
      <c r="B24" s="185"/>
      <c r="C24" s="67" t="str">
        <f>+HLOOKUP(ESCENARIOS!$AI$5,Hoja1!$B$47:$P$77,Hoja1!Q68,FALSE)</f>
        <v/>
      </c>
      <c r="D24" s="71" t="str">
        <f>+IF(C24="","",3)</f>
        <v/>
      </c>
      <c r="E24" s="71" t="str">
        <f t="shared" si="0"/>
        <v/>
      </c>
    </row>
    <row r="25" spans="2:5" ht="12.75" customHeight="1" x14ac:dyDescent="0.25">
      <c r="B25" s="183" t="str">
        <f>+HIPOTESIS!C25:C27</f>
        <v>Trabajo remoto y competencia global por talento</v>
      </c>
      <c r="C25" s="91" t="str">
        <f>+HLOOKUP(ESCENARIOS!$AI$5,Hoja1!$B$47:$P$77,Hoja1!Q69,FALSE)</f>
        <v/>
      </c>
      <c r="D25" s="71" t="str">
        <f>+IF(C25="","",1)</f>
        <v/>
      </c>
      <c r="E25" s="71" t="str">
        <f t="shared" si="0"/>
        <v/>
      </c>
    </row>
    <row r="26" spans="2:5" ht="12.75" customHeight="1" x14ac:dyDescent="0.25">
      <c r="B26" s="184"/>
      <c r="C26" s="66" t="str">
        <f>+HLOOKUP(ESCENARIOS!$AI$5,Hoja1!$B$47:$P$77,Hoja1!Q70,FALSE)</f>
        <v/>
      </c>
      <c r="D26" s="71" t="str">
        <f>+IF(C26="","",2)</f>
        <v/>
      </c>
      <c r="E26" s="71" t="str">
        <f t="shared" si="0"/>
        <v/>
      </c>
    </row>
    <row r="27" spans="2:5" ht="12.75" customHeight="1" thickBot="1" x14ac:dyDescent="0.3">
      <c r="B27" s="185"/>
      <c r="C27" s="67" t="str">
        <f>+HLOOKUP(ESCENARIOS!$AI$5,Hoja1!$B$47:$P$77,Hoja1!Q71,FALSE)</f>
        <v/>
      </c>
      <c r="D27" s="71" t="str">
        <f>+IF(C27="","",3)</f>
        <v/>
      </c>
      <c r="E27" s="71" t="str">
        <f t="shared" si="0"/>
        <v/>
      </c>
    </row>
    <row r="28" spans="2:5" ht="12.75" customHeight="1" x14ac:dyDescent="0.25">
      <c r="B28" s="183" t="str">
        <f>+HIPOTESIS!C28:C30</f>
        <v>Digitalización de pymes y consumidores</v>
      </c>
      <c r="C28" s="91" t="str">
        <f>+HLOOKUP(ESCENARIOS!$AI$5,Hoja1!$B$47:$P$77,Hoja1!Q72,FALSE)</f>
        <v/>
      </c>
      <c r="D28" s="71" t="str">
        <f>+IF(C28="","",1)</f>
        <v/>
      </c>
      <c r="E28" s="71" t="str">
        <f t="shared" si="0"/>
        <v/>
      </c>
    </row>
    <row r="29" spans="2:5" ht="12.75" customHeight="1" x14ac:dyDescent="0.25">
      <c r="B29" s="184"/>
      <c r="C29" s="66" t="str">
        <f>+HLOOKUP(ESCENARIOS!$AI$5,Hoja1!$B$47:$P$77,Hoja1!Q73,FALSE)</f>
        <v/>
      </c>
      <c r="D29" s="71" t="str">
        <f>+IF(C29="","",2)</f>
        <v/>
      </c>
      <c r="E29" s="71" t="str">
        <f t="shared" si="0"/>
        <v/>
      </c>
    </row>
    <row r="30" spans="2:5" ht="12.75" customHeight="1" thickBot="1" x14ac:dyDescent="0.3">
      <c r="B30" s="185"/>
      <c r="C30" s="67" t="str">
        <f>+HLOOKUP(ESCENARIOS!$AI$5,Hoja1!$B$47:$P$77,Hoja1!Q74,FALSE)</f>
        <v/>
      </c>
      <c r="D30" s="71" t="str">
        <f>+IF(C30="","",3)</f>
        <v/>
      </c>
      <c r="E30" s="71" t="str">
        <f t="shared" si="0"/>
        <v/>
      </c>
    </row>
    <row r="31" spans="2:5" ht="12.75" customHeight="1" x14ac:dyDescent="0.25">
      <c r="B31" s="183" t="str">
        <f>+HIPOTESIS!C31:C33</f>
        <v>Escala reducida frente a grandes competidores</v>
      </c>
      <c r="C31" s="68" t="str">
        <f>+HLOOKUP(ESCENARIOS!$AI$5,Hoja1!$B$47:$P$77,Hoja1!Q75,FALSE)</f>
        <v/>
      </c>
      <c r="D31" s="71" t="str">
        <f>+IF(C31="","",1)</f>
        <v/>
      </c>
      <c r="E31" s="71" t="str">
        <f t="shared" si="0"/>
        <v/>
      </c>
    </row>
    <row r="32" spans="2:5" ht="12.75" customHeight="1" x14ac:dyDescent="0.25">
      <c r="B32" s="184"/>
      <c r="C32" s="66" t="str">
        <f>+HLOOKUP(ESCENARIOS!$AI$5,Hoja1!$B$47:$P$77,Hoja1!Q76,FALSE)</f>
        <v/>
      </c>
      <c r="D32" s="71" t="str">
        <f>+IF(C32="","",2)</f>
        <v/>
      </c>
      <c r="E32" s="71" t="str">
        <f t="shared" si="0"/>
        <v/>
      </c>
    </row>
    <row r="33" spans="2:5" ht="12.75" customHeight="1" thickBot="1" x14ac:dyDescent="0.3">
      <c r="B33" s="185"/>
      <c r="C33" s="67" t="str">
        <f>+HLOOKUP(ESCENARIOS!$AI$5,Hoja1!$B$47:$P$77,Hoja1!Q77,FALSE)</f>
        <v/>
      </c>
      <c r="D33" s="71" t="str">
        <f>+IF(C33="","",3)</f>
        <v/>
      </c>
      <c r="E33" s="71" t="str">
        <f t="shared" si="0"/>
        <v/>
      </c>
    </row>
  </sheetData>
  <mergeCells count="10">
    <mergeCell ref="B4:B6"/>
    <mergeCell ref="B7:B9"/>
    <mergeCell ref="B10:B12"/>
    <mergeCell ref="B31:B33"/>
    <mergeCell ref="B22:B24"/>
    <mergeCell ref="B25:B27"/>
    <mergeCell ref="B28:B30"/>
    <mergeCell ref="B13:B15"/>
    <mergeCell ref="B16:B18"/>
    <mergeCell ref="B19:B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C13"/>
  <sheetViews>
    <sheetView showGridLines="0" showRowColHeaders="0" workbookViewId="0">
      <selection activeCell="B3" sqref="B3:C3"/>
    </sheetView>
  </sheetViews>
  <sheetFormatPr baseColWidth="10" defaultRowHeight="15" x14ac:dyDescent="0.25"/>
  <cols>
    <col min="1" max="1" width="4.28515625" customWidth="1"/>
    <col min="2" max="2" width="38.7109375" customWidth="1"/>
    <col min="3" max="3" width="123" customWidth="1"/>
  </cols>
  <sheetData>
    <row r="1" spans="2:3" ht="15.75" thickBot="1" x14ac:dyDescent="0.3"/>
    <row r="2" spans="2:3" ht="23.25" x14ac:dyDescent="0.35">
      <c r="B2" s="186" t="s">
        <v>340</v>
      </c>
      <c r="C2" s="187"/>
    </row>
    <row r="3" spans="2:3" ht="21.75" thickBot="1" x14ac:dyDescent="0.4">
      <c r="B3" s="138" t="s">
        <v>138</v>
      </c>
      <c r="C3" s="139" t="s">
        <v>3</v>
      </c>
    </row>
    <row r="4" spans="2:3" ht="18.75" x14ac:dyDescent="0.3">
      <c r="B4" s="99" t="str">
        <f>+Hoja1!B99</f>
        <v>Ingresos concentrados en proyectos a la medida</v>
      </c>
      <c r="C4" s="101" t="str">
        <f>+Hoja1!D99</f>
        <v/>
      </c>
    </row>
    <row r="5" spans="2:3" ht="18.75" x14ac:dyDescent="0.3">
      <c r="B5" s="99" t="str">
        <f>+Hoja1!B100</f>
        <v>IA generativa y agentes en el desarrollo de software</v>
      </c>
      <c r="C5" s="101" t="str">
        <f>+Hoja1!D100</f>
        <v/>
      </c>
    </row>
    <row r="6" spans="2:3" ht="18.75" x14ac:dyDescent="0.3">
      <c r="B6" s="99" t="str">
        <f>+Hoja1!B101</f>
        <v>Nearshoring de servicios de software</v>
      </c>
      <c r="C6" s="101" t="str">
        <f>+Hoja1!D101</f>
        <v/>
      </c>
    </row>
    <row r="7" spans="2:3" ht="18.75" x14ac:dyDescent="0.3">
      <c r="B7" s="99" t="str">
        <f>+Hoja1!B102</f>
        <v>Brecha de talento TI</v>
      </c>
      <c r="C7" s="101" t="str">
        <f>+Hoja1!D102</f>
        <v/>
      </c>
    </row>
    <row r="8" spans="2:3" ht="18.75" x14ac:dyDescent="0.3">
      <c r="B8" s="99" t="str">
        <f>+Hoja1!B103</f>
        <v>Ciberseguridad y desarrollo seguro</v>
      </c>
      <c r="C8" s="100" t="str">
        <f>+Hoja1!D103</f>
        <v/>
      </c>
    </row>
    <row r="9" spans="2:3" ht="18.75" x14ac:dyDescent="0.3">
      <c r="B9" s="99" t="str">
        <f>+Hoja1!B104</f>
        <v>Cartera de clientes corporativos</v>
      </c>
      <c r="C9" s="100" t="str">
        <f>+Hoja1!D104</f>
        <v/>
      </c>
    </row>
    <row r="10" spans="2:3" ht="18.75" x14ac:dyDescent="0.3">
      <c r="B10" s="99" t="str">
        <f>+Hoja1!B105</f>
        <v>Presencia comercial internacional limitada</v>
      </c>
      <c r="C10" s="100" t="str">
        <f>+Hoja1!D105</f>
        <v/>
      </c>
    </row>
    <row r="11" spans="2:3" ht="18.75" x14ac:dyDescent="0.3">
      <c r="B11" s="99" t="str">
        <f>+Hoja1!B106</f>
        <v>Trabajo remoto y competencia global por talento</v>
      </c>
      <c r="C11" s="100" t="str">
        <f>+Hoja1!D106</f>
        <v/>
      </c>
    </row>
    <row r="12" spans="2:3" ht="18.75" x14ac:dyDescent="0.3">
      <c r="B12" s="99" t="str">
        <f>+Hoja1!B107</f>
        <v>Digitalización de pymes y consumidores</v>
      </c>
      <c r="C12" s="100" t="str">
        <f>+Hoja1!D107</f>
        <v/>
      </c>
    </row>
    <row r="13" spans="2:3" ht="18.75" x14ac:dyDescent="0.3">
      <c r="B13" s="99" t="str">
        <f>+Hoja1!B108</f>
        <v>Escala reducida frente a grandes competidores</v>
      </c>
      <c r="C13" s="100" t="str">
        <f>+Hoja1!D108</f>
        <v/>
      </c>
    </row>
  </sheetData>
  <sheetProtection password="EDEB" sheet="1" objects="1" scenarios="1" formatCells="0" formatColumns="0" formatRows="0" insertColumns="0" insertRows="0" insertHyperlinks="0" deleteColumns="0" deleteRows="0" sort="0" autoFilter="0" pivotTables="0"/>
  <mergeCells count="1">
    <mergeCell ref="B2:C2"/>
  </mergeCells>
  <conditionalFormatting sqref="B4:C13">
    <cfRule type="cellIs" dxfId="0" priority="1" operator="equal">
      <formula>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Hoja3_Botón1_Haga_clic_en">
                <anchor moveWithCells="1" sizeWithCells="1">
                  <from>
                    <xdr:col>3</xdr:col>
                    <xdr:colOff>114300</xdr:colOff>
                    <xdr:row>1</xdr:row>
                    <xdr:rowOff>295275</xdr:rowOff>
                  </from>
                  <to>
                    <xdr:col>4</xdr:col>
                    <xdr:colOff>552450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META_Botón3_2_Haga_clic_en">
                <anchor moveWithCells="1" sizeWithCells="1">
                  <from>
                    <xdr:col>3</xdr:col>
                    <xdr:colOff>133350</xdr:colOff>
                    <xdr:row>4</xdr:row>
                    <xdr:rowOff>85725</xdr:rowOff>
                  </from>
                  <to>
                    <xdr:col>4</xdr:col>
                    <xdr:colOff>609600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Q108"/>
  <sheetViews>
    <sheetView topLeftCell="G36" workbookViewId="0">
      <selection activeCell="P47" sqref="P47"/>
    </sheetView>
  </sheetViews>
  <sheetFormatPr baseColWidth="10" defaultRowHeight="15" x14ac:dyDescent="0.25"/>
  <cols>
    <col min="1" max="1" width="13.5703125" bestFit="1" customWidth="1"/>
    <col min="5" max="5" width="11.85546875" bestFit="1" customWidth="1"/>
    <col min="9" max="9" width="43.28515625" bestFit="1" customWidth="1"/>
  </cols>
  <sheetData>
    <row r="1" spans="1:13" x14ac:dyDescent="0.25">
      <c r="A1" t="s">
        <v>29</v>
      </c>
    </row>
    <row r="2" spans="1:13" x14ac:dyDescent="0.25">
      <c r="A2" t="s">
        <v>24</v>
      </c>
    </row>
    <row r="3" spans="1:13" x14ac:dyDescent="0.25">
      <c r="A3" t="s">
        <v>25</v>
      </c>
    </row>
    <row r="4" spans="1:13" x14ac:dyDescent="0.25">
      <c r="A4" t="s">
        <v>34</v>
      </c>
    </row>
    <row r="5" spans="1:13" x14ac:dyDescent="0.25">
      <c r="A5" t="s">
        <v>26</v>
      </c>
    </row>
    <row r="6" spans="1:13" x14ac:dyDescent="0.25">
      <c r="A6" t="s">
        <v>27</v>
      </c>
    </row>
    <row r="7" spans="1:13" x14ac:dyDescent="0.25">
      <c r="A7" t="s">
        <v>28</v>
      </c>
    </row>
    <row r="8" spans="1:13" x14ac:dyDescent="0.25">
      <c r="A8" t="s">
        <v>337</v>
      </c>
    </row>
    <row r="9" spans="1:13" x14ac:dyDescent="0.25">
      <c r="A9" t="s">
        <v>30</v>
      </c>
    </row>
    <row r="10" spans="1:13" x14ac:dyDescent="0.25">
      <c r="A10" t="s">
        <v>31</v>
      </c>
    </row>
    <row r="11" spans="1:13" x14ac:dyDescent="0.25">
      <c r="A11" t="s">
        <v>32</v>
      </c>
    </row>
    <row r="12" spans="1:13" x14ac:dyDescent="0.25">
      <c r="A12" t="s">
        <v>33</v>
      </c>
    </row>
    <row r="15" spans="1:13" x14ac:dyDescent="0.25">
      <c r="A15" t="s">
        <v>134</v>
      </c>
      <c r="B15" s="24">
        <f>+'IMPACTOS CRUZADOS'!C14</f>
        <v>14</v>
      </c>
      <c r="C15" s="24">
        <f>+'IMPACTOS CRUZADOS'!D14</f>
        <v>16</v>
      </c>
      <c r="D15" s="24">
        <f>+'IMPACTOS CRUZADOS'!E14</f>
        <v>14</v>
      </c>
      <c r="E15" s="24">
        <f>+'IMPACTOS CRUZADOS'!F14</f>
        <v>9</v>
      </c>
      <c r="F15" s="24">
        <f>+'IMPACTOS CRUZADOS'!G14</f>
        <v>9</v>
      </c>
      <c r="G15" s="24">
        <f>+'IMPACTOS CRUZADOS'!H14</f>
        <v>14</v>
      </c>
      <c r="H15" s="24">
        <f>+'IMPACTOS CRUZADOS'!I14</f>
        <v>11</v>
      </c>
      <c r="I15" s="24">
        <f>+'IMPACTOS CRUZADOS'!J14</f>
        <v>10</v>
      </c>
      <c r="J15" s="24">
        <f>+'IMPACTOS CRUZADOS'!K14</f>
        <v>8</v>
      </c>
      <c r="K15" s="24">
        <f>+'IMPACTOS CRUZADOS'!L14</f>
        <v>11</v>
      </c>
      <c r="L15">
        <v>0</v>
      </c>
      <c r="M15" s="24"/>
    </row>
    <row r="16" spans="1:13" x14ac:dyDescent="0.25">
      <c r="A16" t="s">
        <v>132</v>
      </c>
      <c r="B16" s="40">
        <f>+MAX($B$15:$L$15)/2</f>
        <v>8</v>
      </c>
      <c r="C16" s="40">
        <f t="shared" ref="C16:L16" si="0">+MAX($B$15:$L$15)/2</f>
        <v>8</v>
      </c>
      <c r="D16" s="40">
        <f t="shared" si="0"/>
        <v>8</v>
      </c>
      <c r="E16" s="40">
        <f t="shared" si="0"/>
        <v>8</v>
      </c>
      <c r="F16" s="40">
        <f t="shared" si="0"/>
        <v>8</v>
      </c>
      <c r="G16" s="40">
        <f t="shared" si="0"/>
        <v>8</v>
      </c>
      <c r="H16" s="40">
        <f t="shared" si="0"/>
        <v>8</v>
      </c>
      <c r="I16" s="40">
        <f t="shared" si="0"/>
        <v>8</v>
      </c>
      <c r="J16" s="40">
        <f t="shared" si="0"/>
        <v>8</v>
      </c>
      <c r="K16" s="40">
        <f t="shared" si="0"/>
        <v>8</v>
      </c>
      <c r="L16" s="40">
        <f t="shared" si="0"/>
        <v>8</v>
      </c>
      <c r="M16" s="40"/>
    </row>
    <row r="17" spans="1:13" x14ac:dyDescent="0.25">
      <c r="B17" s="40">
        <f>+MAX(B15:L15)</f>
        <v>16</v>
      </c>
      <c r="C17" s="40">
        <f>+B17</f>
        <v>16</v>
      </c>
      <c r="D17" s="40">
        <f t="shared" ref="D17:L17" si="1">+C17</f>
        <v>16</v>
      </c>
      <c r="E17" s="40">
        <f t="shared" si="1"/>
        <v>16</v>
      </c>
      <c r="F17" s="40">
        <f t="shared" si="1"/>
        <v>16</v>
      </c>
      <c r="G17" s="40">
        <f t="shared" si="1"/>
        <v>16</v>
      </c>
      <c r="H17" s="40">
        <f t="shared" si="1"/>
        <v>16</v>
      </c>
      <c r="I17" s="40">
        <f t="shared" si="1"/>
        <v>16</v>
      </c>
      <c r="J17" s="40">
        <f t="shared" si="1"/>
        <v>16</v>
      </c>
      <c r="K17" s="40">
        <f t="shared" si="1"/>
        <v>16</v>
      </c>
      <c r="L17" s="40">
        <f t="shared" si="1"/>
        <v>16</v>
      </c>
      <c r="M17" s="40"/>
    </row>
    <row r="18" spans="1:13" x14ac:dyDescent="0.25">
      <c r="A18" t="s">
        <v>135</v>
      </c>
      <c r="B18">
        <f>+'IMPACTOS CRUZADOS'!M4</f>
        <v>18</v>
      </c>
      <c r="C18">
        <f>+'IMPACTOS CRUZADOS'!M5</f>
        <v>12</v>
      </c>
      <c r="D18">
        <f>+'IMPACTOS CRUZADOS'!M6</f>
        <v>8</v>
      </c>
      <c r="E18">
        <f>+'IMPACTOS CRUZADOS'!M7</f>
        <v>12</v>
      </c>
      <c r="F18">
        <f>+'IMPACTOS CRUZADOS'!M8</f>
        <v>9</v>
      </c>
      <c r="G18">
        <f>+'IMPACTOS CRUZADOS'!M9</f>
        <v>11</v>
      </c>
      <c r="H18">
        <f>+'IMPACTOS CRUZADOS'!M10</f>
        <v>10</v>
      </c>
      <c r="I18">
        <f>+'IMPACTOS CRUZADOS'!M11</f>
        <v>14</v>
      </c>
      <c r="J18">
        <f>+'IMPACTOS CRUZADOS'!M12</f>
        <v>13</v>
      </c>
      <c r="K18">
        <f>+'IMPACTOS CRUZADOS'!M13</f>
        <v>9</v>
      </c>
      <c r="L18">
        <v>0</v>
      </c>
      <c r="M18" s="24"/>
    </row>
    <row r="19" spans="1:13" x14ac:dyDescent="0.25">
      <c r="A19" t="s">
        <v>133</v>
      </c>
      <c r="B19" s="40">
        <f>+B20/2</f>
        <v>9</v>
      </c>
      <c r="C19" s="40">
        <f t="shared" ref="C19:L19" si="2">+C20/2</f>
        <v>9</v>
      </c>
      <c r="D19" s="40">
        <f t="shared" si="2"/>
        <v>9</v>
      </c>
      <c r="E19" s="40">
        <f t="shared" si="2"/>
        <v>9</v>
      </c>
      <c r="F19" s="40">
        <f t="shared" si="2"/>
        <v>9</v>
      </c>
      <c r="G19" s="40">
        <f t="shared" si="2"/>
        <v>9</v>
      </c>
      <c r="H19" s="40">
        <f t="shared" si="2"/>
        <v>9</v>
      </c>
      <c r="I19" s="40">
        <f t="shared" si="2"/>
        <v>9</v>
      </c>
      <c r="J19" s="40">
        <f t="shared" si="2"/>
        <v>9</v>
      </c>
      <c r="K19" s="40">
        <f t="shared" si="2"/>
        <v>9</v>
      </c>
      <c r="L19" s="40">
        <f t="shared" si="2"/>
        <v>9</v>
      </c>
      <c r="M19" s="40"/>
    </row>
    <row r="20" spans="1:13" x14ac:dyDescent="0.25">
      <c r="B20" s="40">
        <f>+MAX(B18:M18)</f>
        <v>18</v>
      </c>
      <c r="C20" s="40">
        <f>+B20</f>
        <v>18</v>
      </c>
      <c r="D20" s="40">
        <f>+C20</f>
        <v>18</v>
      </c>
      <c r="E20" s="40">
        <f t="shared" ref="E20:L20" si="3">+D20</f>
        <v>18</v>
      </c>
      <c r="F20" s="40">
        <f t="shared" si="3"/>
        <v>18</v>
      </c>
      <c r="G20" s="40">
        <f t="shared" si="3"/>
        <v>18</v>
      </c>
      <c r="H20" s="40">
        <f t="shared" si="3"/>
        <v>18</v>
      </c>
      <c r="I20" s="40">
        <f t="shared" si="3"/>
        <v>18</v>
      </c>
      <c r="J20" s="40">
        <f t="shared" si="3"/>
        <v>18</v>
      </c>
      <c r="K20" s="40">
        <f t="shared" si="3"/>
        <v>18</v>
      </c>
      <c r="L20" s="40">
        <f t="shared" si="3"/>
        <v>18</v>
      </c>
      <c r="M20" s="40"/>
    </row>
    <row r="23" spans="1:13" x14ac:dyDescent="0.25">
      <c r="A23" t="s">
        <v>136</v>
      </c>
      <c r="B23" t="s">
        <v>137</v>
      </c>
      <c r="C23" t="s">
        <v>136</v>
      </c>
      <c r="D23" t="s">
        <v>137</v>
      </c>
      <c r="I23" t="s">
        <v>138</v>
      </c>
    </row>
    <row r="24" spans="1:13" x14ac:dyDescent="0.25">
      <c r="A24" s="1">
        <f>+IF(RANKING!J3="PODER",1,0)</f>
        <v>0</v>
      </c>
      <c r="B24" s="1">
        <f>+IF(RANKING!J3="CONFLICTO",1,0)</f>
        <v>1</v>
      </c>
      <c r="C24" s="1">
        <f t="shared" ref="C24:C33" si="4">+IF(A23=A24,0,A24)</f>
        <v>0</v>
      </c>
      <c r="D24" s="1">
        <f t="shared" ref="D24:D33" si="5">+IF(B23=B24,0,B24)</f>
        <v>1</v>
      </c>
      <c r="E24" s="1">
        <f>+A24+B24</f>
        <v>1</v>
      </c>
      <c r="G24" s="1">
        <f>+IF(E23=E24,0,E24)</f>
        <v>1</v>
      </c>
      <c r="I24" t="str">
        <f>+RANKING!D3</f>
        <v>Ingresos concentrados en proyectos a la medida</v>
      </c>
      <c r="J24">
        <f>+C24+D24</f>
        <v>1</v>
      </c>
    </row>
    <row r="25" spans="1:13" x14ac:dyDescent="0.25">
      <c r="A25" s="1">
        <f>+IF(RANKING!J4="PODER",1,0)+A24</f>
        <v>0</v>
      </c>
      <c r="B25" s="1">
        <f>+IF(RANKING!J4="CONFLICTO",1,0)+B24</f>
        <v>2</v>
      </c>
      <c r="C25" s="1">
        <f t="shared" si="4"/>
        <v>0</v>
      </c>
      <c r="D25" s="1">
        <f t="shared" si="5"/>
        <v>2</v>
      </c>
      <c r="E25" s="1">
        <f>+A25+B25</f>
        <v>2</v>
      </c>
      <c r="G25" s="1">
        <f t="shared" ref="G25:G33" si="6">+IF(E24=E25,0,E25)</f>
        <v>2</v>
      </c>
      <c r="I25" t="str">
        <f>+RANKING!D4</f>
        <v>IA generativa y agentes en el desarrollo de software</v>
      </c>
      <c r="J25">
        <f>+C25+D25</f>
        <v>2</v>
      </c>
    </row>
    <row r="26" spans="1:13" x14ac:dyDescent="0.25">
      <c r="A26" s="1">
        <f>+IF(RANKING!J5="PODER",1,0)+A25</f>
        <v>1</v>
      </c>
      <c r="B26" s="1">
        <f>+IF(RANKING!J5="CONFLICTO",1,0)+B25</f>
        <v>2</v>
      </c>
      <c r="C26" s="1">
        <f t="shared" si="4"/>
        <v>1</v>
      </c>
      <c r="D26" s="1">
        <f t="shared" si="5"/>
        <v>0</v>
      </c>
      <c r="E26" s="1">
        <f t="shared" ref="E26:E33" si="7">+A26+B26</f>
        <v>3</v>
      </c>
      <c r="G26" s="1">
        <f t="shared" si="6"/>
        <v>3</v>
      </c>
      <c r="I26" t="str">
        <f>+RANKING!D5</f>
        <v>Nearshoring de servicios de software</v>
      </c>
    </row>
    <row r="27" spans="1:13" x14ac:dyDescent="0.25">
      <c r="A27" s="1">
        <f>+IF(RANKING!J6="PODER",1,0)+A26</f>
        <v>1</v>
      </c>
      <c r="B27" s="1">
        <f>+IF(RANKING!J6="CONFLICTO",1,0)+B26</f>
        <v>3</v>
      </c>
      <c r="C27" s="1">
        <f t="shared" si="4"/>
        <v>0</v>
      </c>
      <c r="D27" s="1">
        <f t="shared" si="5"/>
        <v>3</v>
      </c>
      <c r="E27" s="1">
        <f t="shared" si="7"/>
        <v>4</v>
      </c>
      <c r="G27" s="1">
        <f t="shared" si="6"/>
        <v>4</v>
      </c>
      <c r="I27" t="str">
        <f>+RANKING!D6</f>
        <v>Brecha de talento TI</v>
      </c>
    </row>
    <row r="28" spans="1:13" x14ac:dyDescent="0.25">
      <c r="A28" s="1">
        <f>+IF(RANKING!J7="PODER",1,0)+A27</f>
        <v>1</v>
      </c>
      <c r="B28" s="1">
        <f>+IF(RANKING!J7="CONFLICTO",1,0)+B27</f>
        <v>4</v>
      </c>
      <c r="C28" s="1">
        <f t="shared" si="4"/>
        <v>0</v>
      </c>
      <c r="D28" s="1">
        <f t="shared" si="5"/>
        <v>4</v>
      </c>
      <c r="E28" s="1">
        <f t="shared" si="7"/>
        <v>5</v>
      </c>
      <c r="G28" s="1">
        <f t="shared" si="6"/>
        <v>5</v>
      </c>
      <c r="I28" t="str">
        <f>+RANKING!D7</f>
        <v>Ciberseguridad y desarrollo seguro</v>
      </c>
    </row>
    <row r="29" spans="1:13" x14ac:dyDescent="0.25">
      <c r="A29" s="1">
        <f>+IF(RANKING!J8="PODER",1,0)+A28</f>
        <v>1</v>
      </c>
      <c r="B29" s="1">
        <f>+IF(RANKING!J8="CONFLICTO",1,0)+B28</f>
        <v>5</v>
      </c>
      <c r="C29" s="1">
        <f t="shared" si="4"/>
        <v>0</v>
      </c>
      <c r="D29" s="1">
        <f t="shared" si="5"/>
        <v>5</v>
      </c>
      <c r="E29" s="1">
        <f t="shared" si="7"/>
        <v>6</v>
      </c>
      <c r="G29" s="1">
        <f t="shared" si="6"/>
        <v>6</v>
      </c>
      <c r="I29" t="str">
        <f>+RANKING!D8</f>
        <v>Cartera de clientes corporativos</v>
      </c>
    </row>
    <row r="30" spans="1:13" x14ac:dyDescent="0.25">
      <c r="A30" s="1">
        <f>+IF(RANKING!J9="PODER",1,0)+A29</f>
        <v>1</v>
      </c>
      <c r="B30" s="1">
        <f>+IF(RANKING!J9="CONFLICTO",1,0)+B29</f>
        <v>6</v>
      </c>
      <c r="C30" s="1">
        <f t="shared" si="4"/>
        <v>0</v>
      </c>
      <c r="D30" s="1">
        <f t="shared" si="5"/>
        <v>6</v>
      </c>
      <c r="E30" s="1">
        <f t="shared" si="7"/>
        <v>7</v>
      </c>
      <c r="G30" s="1">
        <f t="shared" si="6"/>
        <v>7</v>
      </c>
      <c r="I30" t="str">
        <f>+RANKING!D9</f>
        <v>Presencia comercial internacional limitada</v>
      </c>
    </row>
    <row r="31" spans="1:13" x14ac:dyDescent="0.25">
      <c r="A31" s="1">
        <f>+IF(RANKING!J10="PODER",1,0)+A30</f>
        <v>1</v>
      </c>
      <c r="B31" s="1">
        <f>+IF(RANKING!J10="CONFLICTO",1,0)+B30</f>
        <v>7</v>
      </c>
      <c r="C31" s="1">
        <f t="shared" si="4"/>
        <v>0</v>
      </c>
      <c r="D31" s="1">
        <f t="shared" si="5"/>
        <v>7</v>
      </c>
      <c r="E31" s="1">
        <f t="shared" si="7"/>
        <v>8</v>
      </c>
      <c r="G31" s="1">
        <f t="shared" si="6"/>
        <v>8</v>
      </c>
      <c r="I31" t="str">
        <f>+RANKING!D10</f>
        <v>Trabajo remoto y competencia global por talento</v>
      </c>
    </row>
    <row r="32" spans="1:13" x14ac:dyDescent="0.25">
      <c r="A32" s="1">
        <f>+IF(RANKING!J11="PODER",1,0)+A31</f>
        <v>1</v>
      </c>
      <c r="B32" s="1">
        <f>+IF(RANKING!J11="CONFLICTO",1,0)+B31</f>
        <v>8</v>
      </c>
      <c r="C32" s="1">
        <f t="shared" si="4"/>
        <v>0</v>
      </c>
      <c r="D32" s="1">
        <f t="shared" si="5"/>
        <v>8</v>
      </c>
      <c r="E32" s="1">
        <f t="shared" si="7"/>
        <v>9</v>
      </c>
      <c r="G32" s="1">
        <f t="shared" si="6"/>
        <v>9</v>
      </c>
      <c r="I32" t="str">
        <f>+RANKING!D11</f>
        <v>Digitalización de pymes y consumidores</v>
      </c>
    </row>
    <row r="33" spans="1:17" x14ac:dyDescent="0.25">
      <c r="A33" s="1">
        <f>+IF(RANKING!J12="PODER",1,0)+A32</f>
        <v>1</v>
      </c>
      <c r="B33" s="1">
        <f>+IF(RANKING!J12="CONFLICTO",1,0)+B32</f>
        <v>9</v>
      </c>
      <c r="C33" s="1">
        <f t="shared" si="4"/>
        <v>0</v>
      </c>
      <c r="D33" s="1">
        <f t="shared" si="5"/>
        <v>9</v>
      </c>
      <c r="E33" s="1">
        <f t="shared" si="7"/>
        <v>10</v>
      </c>
      <c r="G33" s="1">
        <f t="shared" si="6"/>
        <v>10</v>
      </c>
      <c r="I33" t="str">
        <f>+RANKING!D12</f>
        <v>Escala reducida frente a grandes competidores</v>
      </c>
    </row>
    <row r="34" spans="1:17" x14ac:dyDescent="0.25">
      <c r="B34" s="1"/>
      <c r="C34" s="1"/>
      <c r="D34" s="1"/>
      <c r="E34" s="1"/>
      <c r="F34" s="1"/>
      <c r="G34" s="1"/>
      <c r="H34" s="1"/>
    </row>
    <row r="35" spans="1:17" x14ac:dyDescent="0.25">
      <c r="B35" s="1"/>
      <c r="C35" s="1"/>
      <c r="D35" s="1"/>
      <c r="E35" s="1"/>
      <c r="F35" s="1"/>
      <c r="G35" s="1"/>
      <c r="H35" s="1"/>
    </row>
    <row r="36" spans="1:17" x14ac:dyDescent="0.25">
      <c r="B36" t="str">
        <f>+IF(RANKING!J3="poder",RANKING!D3,IF(RANKING!J3="conflicto",RANKING!D3,""))</f>
        <v>Ingresos concentrados en proyectos a la medida</v>
      </c>
    </row>
    <row r="37" spans="1:17" x14ac:dyDescent="0.25">
      <c r="B37" t="str">
        <f>+IF(RANKING!J4="poder",RANKING!D4,IF(RANKING!J4="conflicto",RANKING!D4,""))</f>
        <v>IA generativa y agentes en el desarrollo de software</v>
      </c>
    </row>
    <row r="38" spans="1:17" x14ac:dyDescent="0.25">
      <c r="B38" t="str">
        <f>+IF(RANKING!J5="poder",RANKING!D5,IF(RANKING!J5="conflicto",RANKING!D5,""))</f>
        <v>Nearshoring de servicios de software</v>
      </c>
    </row>
    <row r="39" spans="1:17" x14ac:dyDescent="0.25">
      <c r="B39" t="str">
        <f>+IF(RANKING!J6="poder",RANKING!D6,IF(RANKING!J6="conflicto",RANKING!D6,""))</f>
        <v>Brecha de talento TI</v>
      </c>
    </row>
    <row r="40" spans="1:17" x14ac:dyDescent="0.25">
      <c r="B40" t="str">
        <f>+IF(RANKING!J7="poder",RANKING!D7,IF(RANKING!J7="conflicto",RANKING!D7,""))</f>
        <v>Ciberseguridad y desarrollo seguro</v>
      </c>
    </row>
    <row r="41" spans="1:17" x14ac:dyDescent="0.25">
      <c r="B41" t="str">
        <f>+IF(RANKING!J8="poder",RANKING!D8,IF(RANKING!J8="conflicto",RANKING!D8,""))</f>
        <v>Cartera de clientes corporativos</v>
      </c>
    </row>
    <row r="42" spans="1:17" x14ac:dyDescent="0.25">
      <c r="B42" t="str">
        <f>+IF(RANKING!J9="poder",RANKING!D9,IF(RANKING!J9="conflicto",RANKING!D9,""))</f>
        <v>Presencia comercial internacional limitada</v>
      </c>
    </row>
    <row r="43" spans="1:17" x14ac:dyDescent="0.25">
      <c r="B43" t="str">
        <f>+IF(RANKING!J10="poder",RANKING!D10,IF(RANKING!J10="conflicto",RANKING!D10,""))</f>
        <v>Trabajo remoto y competencia global por talento</v>
      </c>
    </row>
    <row r="44" spans="1:17" x14ac:dyDescent="0.25">
      <c r="B44" t="str">
        <f>+IF(RANKING!J11="poder",RANKING!D11,IF(RANKING!J11="conflicto",RANKING!D11,""))</f>
        <v>Digitalización de pymes y consumidores</v>
      </c>
    </row>
    <row r="45" spans="1:17" x14ac:dyDescent="0.25">
      <c r="B45" t="str">
        <f>+IF(RANKING!J12="poder",RANKING!D12,IF(RANKING!J12="conflicto",RANKING!D12,""))</f>
        <v>Escala reducida frente a grandes competidores</v>
      </c>
    </row>
    <row r="47" spans="1:17" x14ac:dyDescent="0.25">
      <c r="B47" s="1">
        <v>1</v>
      </c>
      <c r="C47" s="1">
        <v>2</v>
      </c>
      <c r="D47" s="1">
        <v>3</v>
      </c>
      <c r="E47" s="1">
        <v>4</v>
      </c>
      <c r="F47" s="1">
        <v>5</v>
      </c>
      <c r="G47" s="1">
        <v>6</v>
      </c>
      <c r="H47" s="1">
        <v>7</v>
      </c>
      <c r="I47" s="1">
        <v>8</v>
      </c>
      <c r="J47" s="1">
        <v>9</v>
      </c>
      <c r="K47" s="1">
        <v>10</v>
      </c>
      <c r="L47" s="1">
        <v>11</v>
      </c>
      <c r="M47" s="1">
        <v>12</v>
      </c>
      <c r="N47" s="1">
        <v>13</v>
      </c>
      <c r="O47" s="1">
        <v>14</v>
      </c>
      <c r="P47" s="1">
        <v>15</v>
      </c>
    </row>
    <row r="48" spans="1:17" x14ac:dyDescent="0.25">
      <c r="A48" s="63" t="s">
        <v>306</v>
      </c>
      <c r="B48" s="1" t="str">
        <f>+IF(ESCENARIOS!C6="X",HIPOTESIS!$E$4,"")</f>
        <v/>
      </c>
      <c r="C48" s="1" t="str">
        <f>+IF(ESCENARIOS!C7="X",HIPOTESIS!$E$4,"")</f>
        <v/>
      </c>
      <c r="D48" s="1" t="str">
        <f>+IF(ESCENARIOS!C8="X",HIPOTESIS!$E$4,"")</f>
        <v/>
      </c>
      <c r="E48" s="1" t="str">
        <f>+IF(ESCENARIOS!C9="X",HIPOTESIS!$E$4,"")</f>
        <v/>
      </c>
      <c r="F48" s="1" t="str">
        <f>+IF(ESCENARIOS!C10="X",HIPOTESIS!$E$4,"")</f>
        <v/>
      </c>
      <c r="G48" s="1" t="str">
        <f>+IF(ESCENARIOS!C11="X",HIPOTESIS!$E$4,"")</f>
        <v/>
      </c>
      <c r="H48" s="1" t="str">
        <f>+IF(ESCENARIOS!C12="X",HIPOTESIS!$E$4,"")</f>
        <v/>
      </c>
      <c r="I48" s="1" t="str">
        <f>+IF(ESCENARIOS!C13="X",HIPOTESIS!$E$4,"")</f>
        <v/>
      </c>
      <c r="J48" s="1" t="str">
        <f>+IF(ESCENARIOS!C14="X",HIPOTESIS!$E$4,"")</f>
        <v/>
      </c>
      <c r="K48" s="1" t="str">
        <f>+IF(ESCENARIOS!C15="X",HIPOTESIS!$E$4,"")</f>
        <v/>
      </c>
      <c r="L48" s="1" t="str">
        <f>+IF(ESCENARIOS!C16="X",HIPOTESIS!$E$4,"")</f>
        <v/>
      </c>
      <c r="M48" s="1" t="str">
        <f>+IF(ESCENARIOS!C17="X",HIPOTESIS!$E$4,"")</f>
        <v/>
      </c>
      <c r="N48" s="1" t="str">
        <f>+IF(ESCENARIOS!C18="X",HIPOTESIS!$E$4,"")</f>
        <v/>
      </c>
      <c r="O48" s="1" t="str">
        <f>+IF(ESCENARIOS!C19="X",HIPOTESIS!$E$4,"")</f>
        <v/>
      </c>
      <c r="P48" s="1" t="str">
        <f>+IF(ESCENARIOS!C20="X",HIPOTESIS!$E$4,"")</f>
        <v/>
      </c>
      <c r="Q48">
        <v>2</v>
      </c>
    </row>
    <row r="49" spans="1:17" x14ac:dyDescent="0.25">
      <c r="A49" s="63" t="s">
        <v>307</v>
      </c>
      <c r="B49" s="1" t="str">
        <f>+IF(ESCENARIOS!D6="X",HIPOTESIS!$E$5,"")</f>
        <v/>
      </c>
      <c r="C49" s="1" t="str">
        <f>+IF(ESCENARIOS!D7="X",HIPOTESIS!$E$5,"")</f>
        <v/>
      </c>
      <c r="D49" s="1" t="str">
        <f>+IF(ESCENARIOS!D8="X",HIPOTESIS!$E$5,"")</f>
        <v/>
      </c>
      <c r="E49" s="1" t="str">
        <f>+IF(ESCENARIOS!D9="X",HIPOTESIS!$E$5,"")</f>
        <v/>
      </c>
      <c r="F49" s="1" t="str">
        <f>+IF(ESCENARIOS!D10="X",HIPOTESIS!$E$5,"")</f>
        <v/>
      </c>
      <c r="G49" s="1" t="str">
        <f>+IF(ESCENARIOS!D11="X",HIPOTESIS!$E$5,"")</f>
        <v/>
      </c>
      <c r="H49" s="1" t="str">
        <f>+IF(ESCENARIOS!D12="X",HIPOTESIS!$E$5,"")</f>
        <v/>
      </c>
      <c r="I49" s="1" t="str">
        <f>+IF(ESCENARIOS!D13="X",HIPOTESIS!$E$5,"")</f>
        <v/>
      </c>
      <c r="J49" s="1" t="str">
        <f>+IF(ESCENARIOS!D14="X",HIPOTESIS!$E$5,"")</f>
        <v/>
      </c>
      <c r="K49" s="1" t="str">
        <f>+IF(ESCENARIOS!D15="X",HIPOTESIS!$E$5,"")</f>
        <v/>
      </c>
      <c r="L49" s="1" t="str">
        <f>+IF(ESCENARIOS!D16="X",HIPOTESIS!$E$5,"")</f>
        <v/>
      </c>
      <c r="M49" s="1" t="str">
        <f>+IF(ESCENARIOS!D17="X",HIPOTESIS!$E$5,"")</f>
        <v/>
      </c>
      <c r="N49" s="1" t="str">
        <f>+IF(ESCENARIOS!D18="X",HIPOTESIS!$E$5,"")</f>
        <v/>
      </c>
      <c r="O49" s="1" t="str">
        <f>+IF(ESCENARIOS!D19="X",HIPOTESIS!$E$5,"")</f>
        <v/>
      </c>
      <c r="P49" s="1" t="str">
        <f>+IF(ESCENARIOS!D20="X",HIPOTESIS!$E$5,"")</f>
        <v/>
      </c>
      <c r="Q49">
        <v>3</v>
      </c>
    </row>
    <row r="50" spans="1:17" x14ac:dyDescent="0.25">
      <c r="A50" s="63" t="s">
        <v>308</v>
      </c>
      <c r="B50" s="1" t="str">
        <f>+IF(ESCENARIOS!E6="X",HIPOTESIS!$E$6,"")</f>
        <v/>
      </c>
      <c r="C50" s="1" t="str">
        <f>+IF(ESCENARIOS!E7="X",HIPOTESIS!$E$6,"")</f>
        <v/>
      </c>
      <c r="D50" s="1" t="str">
        <f>+IF(ESCENARIOS!E8="X",HIPOTESIS!$E$6,"")</f>
        <v/>
      </c>
      <c r="E50" s="1" t="str">
        <f>+IF(ESCENARIOS!E9="X",HIPOTESIS!$E$6,"")</f>
        <v/>
      </c>
      <c r="F50" s="1" t="str">
        <f>+IF(ESCENARIOS!E10="X",HIPOTESIS!$E$6,"")</f>
        <v/>
      </c>
      <c r="G50" s="1" t="str">
        <f>+IF(ESCENARIOS!E11="X",HIPOTESIS!$E$6,"")</f>
        <v/>
      </c>
      <c r="H50" s="1" t="str">
        <f>+IF(ESCENARIOS!E12="X",HIPOTESIS!$E$6,"")</f>
        <v/>
      </c>
      <c r="I50" s="1" t="str">
        <f>+IF(ESCENARIOS!E13="X",HIPOTESIS!$E$6,"")</f>
        <v/>
      </c>
      <c r="J50" s="1" t="str">
        <f>+IF(ESCENARIOS!E14="X",HIPOTESIS!$E$6,"")</f>
        <v/>
      </c>
      <c r="K50" s="1" t="str">
        <f>+IF(ESCENARIOS!E15="X",HIPOTESIS!$E$6,"")</f>
        <v/>
      </c>
      <c r="L50" s="1" t="str">
        <f>+IF(ESCENARIOS!E16="X",HIPOTESIS!$E$6,"")</f>
        <v/>
      </c>
      <c r="M50" s="1" t="str">
        <f>+IF(ESCENARIOS!E17="X",HIPOTESIS!$E$6,"")</f>
        <v/>
      </c>
      <c r="N50" s="1" t="str">
        <f>+IF(ESCENARIOS!E18="X",HIPOTESIS!$E$6,"")</f>
        <v/>
      </c>
      <c r="O50" s="1" t="str">
        <f>+IF(ESCENARIOS!IE19="X",HIPOTESIS!$E$6,"")</f>
        <v/>
      </c>
      <c r="P50" s="1" t="str">
        <f>+IF(ESCENARIOS!E20="X",HIPOTESIS!$E$6,"")</f>
        <v/>
      </c>
      <c r="Q50">
        <v>4</v>
      </c>
    </row>
    <row r="51" spans="1:17" x14ac:dyDescent="0.25">
      <c r="A51" s="63" t="s">
        <v>309</v>
      </c>
      <c r="B51" s="1" t="str">
        <f>+IF(ESCENARIOS!F6="X",HIPOTESIS!$E$7,"")</f>
        <v/>
      </c>
      <c r="C51" s="1" t="str">
        <f>+IF(ESCENARIOS!F7="X",HIPOTESIS!$E$7,"")</f>
        <v/>
      </c>
      <c r="D51" s="1" t="str">
        <f>+IF(ESCENARIOS!F8="X",HIPOTESIS!$E$7,"")</f>
        <v/>
      </c>
      <c r="E51" s="1" t="str">
        <f>+IF(ESCENARIOS!F9="X",HIPOTESIS!$E$7,"")</f>
        <v/>
      </c>
      <c r="F51" s="1" t="str">
        <f>+IF(ESCENARIOS!F10="X",HIPOTESIS!$E$7,"")</f>
        <v/>
      </c>
      <c r="G51" s="1" t="str">
        <f>+IF(ESCENARIOS!F11="X",HIPOTESIS!$E$7,"")</f>
        <v/>
      </c>
      <c r="H51" s="1" t="str">
        <f>+IF(ESCENARIOS!F12="X",HIPOTESIS!$E$7,"")</f>
        <v/>
      </c>
      <c r="I51" s="1" t="str">
        <f>+IF(ESCENARIOS!F13="X",HIPOTESIS!$E$7,"")</f>
        <v/>
      </c>
      <c r="J51" s="1" t="str">
        <f>+IF(ESCENARIOS!F14="X",HIPOTESIS!$E$7,"")</f>
        <v/>
      </c>
      <c r="K51" s="1" t="str">
        <f>+IF(ESCENARIOS!F15="X",HIPOTESIS!$E$7,"")</f>
        <v/>
      </c>
      <c r="L51" s="1" t="str">
        <f>+IF(ESCENARIOS!F16="X",HIPOTESIS!$E$7,"")</f>
        <v/>
      </c>
      <c r="M51" s="1" t="str">
        <f>+IF(ESCENARIOS!F17="X",HIPOTESIS!$E$7,"")</f>
        <v/>
      </c>
      <c r="N51" s="1" t="str">
        <f>+IF(ESCENARIOS!F18="X",HIPOTESIS!$E$7,"")</f>
        <v/>
      </c>
      <c r="O51" s="1" t="str">
        <f>+IF(ESCENARIOS!F19="X",HIPOTESIS!$E$7,"")</f>
        <v/>
      </c>
      <c r="P51" s="1" t="str">
        <f>+IF(ESCENARIOS!F20="X",HIPOTESIS!$E$7,"")</f>
        <v/>
      </c>
      <c r="Q51">
        <v>5</v>
      </c>
    </row>
    <row r="52" spans="1:17" x14ac:dyDescent="0.25">
      <c r="A52" s="63" t="s">
        <v>310</v>
      </c>
      <c r="B52" s="1" t="str">
        <f>+IF(ESCENARIOS!G6="X",HIPOTESIS!$E$8,"")</f>
        <v/>
      </c>
      <c r="C52" s="1" t="str">
        <f>+IF(ESCENARIOS!G7="X",HIPOTESIS!$E$8,"")</f>
        <v/>
      </c>
      <c r="D52" s="1" t="str">
        <f>+IF(ESCENARIOS!G8="X",HIPOTESIS!$E$8,"")</f>
        <v/>
      </c>
      <c r="E52" s="1" t="str">
        <f>+IF(ESCENARIOS!G9="X",HIPOTESIS!$E$8,"")</f>
        <v/>
      </c>
      <c r="F52" s="1" t="str">
        <f>+IF(ESCENARIOS!G10="X",HIPOTESIS!$E$8,"")</f>
        <v/>
      </c>
      <c r="G52" s="1" t="str">
        <f>+IF(ESCENARIOS!G11="X",HIPOTESIS!$E$8,"")</f>
        <v/>
      </c>
      <c r="H52" s="1" t="str">
        <f>+IF(ESCENARIOS!G12="X",HIPOTESIS!$E$8,"")</f>
        <v/>
      </c>
      <c r="I52" s="1" t="str">
        <f>+IF(ESCENARIOS!G13="X",HIPOTESIS!$E$8,"")</f>
        <v/>
      </c>
      <c r="J52" s="1" t="str">
        <f>+IF(ESCENARIOS!G14="X",HIPOTESIS!$E$8,"")</f>
        <v/>
      </c>
      <c r="K52" s="1" t="str">
        <f>+IF(ESCENARIOS!G15="X",HIPOTESIS!$E$8,"")</f>
        <v/>
      </c>
      <c r="L52" s="1" t="str">
        <f>+IF(ESCENARIOS!G16="X",HIPOTESIS!$E$8,"")</f>
        <v/>
      </c>
      <c r="M52" s="1" t="str">
        <f>+IF(ESCENARIOS!G17="X",HIPOTESIS!$E$8,"")</f>
        <v/>
      </c>
      <c r="N52" s="1" t="str">
        <f>+IF(ESCENARIOS!G18="X",HIPOTESIS!$E$8,"")</f>
        <v/>
      </c>
      <c r="O52" s="1" t="str">
        <f>+IF(ESCENARIOS!G19="X",HIPOTESIS!$E$8,"")</f>
        <v/>
      </c>
      <c r="P52" s="1" t="str">
        <f>+IF(ESCENARIOS!G20="X",HIPOTESIS!$E$8,"")</f>
        <v/>
      </c>
      <c r="Q52">
        <v>6</v>
      </c>
    </row>
    <row r="53" spans="1:17" x14ac:dyDescent="0.25">
      <c r="A53" s="63" t="s">
        <v>311</v>
      </c>
      <c r="B53" s="1" t="str">
        <f>+IF(ESCENARIOS!H6="X",HIPOTESIS!$E$9,"")</f>
        <v/>
      </c>
      <c r="C53" s="1" t="str">
        <f>+IF(ESCENARIOS!H7="X",HIPOTESIS!$E$9,"")</f>
        <v/>
      </c>
      <c r="D53" s="1" t="str">
        <f>+IF(ESCENARIOS!H8="X",HIPOTESIS!$E$9,"")</f>
        <v/>
      </c>
      <c r="E53" s="1" t="str">
        <f>+IF(ESCENARIOS!H9="X",HIPOTESIS!$E$9,"")</f>
        <v/>
      </c>
      <c r="F53" s="1" t="str">
        <f>+IF(ESCENARIOS!H10="X",HIPOTESIS!$E$9,"")</f>
        <v/>
      </c>
      <c r="G53" s="1" t="str">
        <f>+IF(ESCENARIOS!H11="X",HIPOTESIS!$E$9,"")</f>
        <v/>
      </c>
      <c r="H53" s="1" t="str">
        <f>+IF(ESCENARIOS!H12="X",HIPOTESIS!$E$9,"")</f>
        <v/>
      </c>
      <c r="I53" s="1" t="str">
        <f>+IF(ESCENARIOS!H13="X",HIPOTESIS!$E$9,"")</f>
        <v/>
      </c>
      <c r="J53" s="1" t="str">
        <f>+IF(ESCENARIOS!H14="X",HIPOTESIS!$E$9,"")</f>
        <v/>
      </c>
      <c r="K53" s="1" t="str">
        <f>+IF(ESCENARIOS!H15="X",HIPOTESIS!$E$9,"")</f>
        <v/>
      </c>
      <c r="L53" s="1" t="str">
        <f>+IF(ESCENARIOS!H16="X",HIPOTESIS!$E$9,"")</f>
        <v/>
      </c>
      <c r="M53" s="1" t="str">
        <f>+IF(ESCENARIOS!H17="X",HIPOTESIS!$E$9,"")</f>
        <v/>
      </c>
      <c r="N53" s="1" t="str">
        <f>+IF(ESCENARIOS!H18="X",HIPOTESIS!$E$9,"")</f>
        <v/>
      </c>
      <c r="O53" s="1" t="str">
        <f>+IF(ESCENARIOS!H19="X",HIPOTESIS!$E$9,"")</f>
        <v/>
      </c>
      <c r="P53" s="1" t="str">
        <f>+IF(ESCENARIOS!H20="X",HIPOTESIS!$E$9,"")</f>
        <v/>
      </c>
      <c r="Q53">
        <v>7</v>
      </c>
    </row>
    <row r="54" spans="1:17" x14ac:dyDescent="0.25">
      <c r="A54" s="63" t="s">
        <v>312</v>
      </c>
      <c r="B54" s="1" t="str">
        <f>+IF(ESCENARIOS!I6="X",HIPOTESIS!$E$10,"")</f>
        <v/>
      </c>
      <c r="C54" s="1" t="str">
        <f>+IF(ESCENARIOS!I7="X",HIPOTESIS!$E$10,"")</f>
        <v/>
      </c>
      <c r="D54" s="1" t="str">
        <f>+IF(ESCENARIOS!I8="X",HIPOTESIS!$E$10,"")</f>
        <v/>
      </c>
      <c r="E54" s="1" t="str">
        <f>+IF(ESCENARIOS!I9="X",HIPOTESIS!$E$10,"")</f>
        <v/>
      </c>
      <c r="F54" s="1" t="str">
        <f>+IF(ESCENARIOS!I10="X",HIPOTESIS!$E$10,"")</f>
        <v/>
      </c>
      <c r="G54" s="1" t="str">
        <f>+IF(ESCENARIOS!I11="X",HIPOTESIS!$E$10,"")</f>
        <v/>
      </c>
      <c r="H54" s="1" t="str">
        <f>+IF(ESCENARIOS!I12="X",HIPOTESIS!$E$10,"")</f>
        <v/>
      </c>
      <c r="I54" s="1" t="str">
        <f>+IF(ESCENARIOS!I13="X",HIPOTESIS!$E$10,"")</f>
        <v/>
      </c>
      <c r="J54" s="1" t="str">
        <f>+IF(ESCENARIOS!I14="X",HIPOTESIS!$E$10,"")</f>
        <v/>
      </c>
      <c r="K54" s="1" t="str">
        <f>+IF(ESCENARIOS!I15="X",HIPOTESIS!$E$10,"")</f>
        <v/>
      </c>
      <c r="L54" s="1" t="str">
        <f>+IF(ESCENARIOS!I16="X",HIPOTESIS!$E$10,"")</f>
        <v/>
      </c>
      <c r="M54" s="1" t="str">
        <f>+IF(ESCENARIOS!I17="X",HIPOTESIS!$E$10,"")</f>
        <v/>
      </c>
      <c r="N54" s="1" t="str">
        <f>+IF(ESCENARIOS!I18="X",HIPOTESIS!$E$10,"")</f>
        <v/>
      </c>
      <c r="O54" s="1" t="str">
        <f>+IF(ESCENARIOS!I19="X",HIPOTESIS!$E$10,"")</f>
        <v/>
      </c>
      <c r="P54" s="1" t="str">
        <f>+IF(ESCENARIOS!I20="X",HIPOTESIS!$E$10,"")</f>
        <v/>
      </c>
      <c r="Q54">
        <v>8</v>
      </c>
    </row>
    <row r="55" spans="1:17" x14ac:dyDescent="0.25">
      <c r="A55" s="63" t="s">
        <v>313</v>
      </c>
      <c r="B55" s="1" t="str">
        <f>+IF(ESCENARIOS!J6="X",HIPOTESIS!$E$11,"")</f>
        <v/>
      </c>
      <c r="C55" s="1" t="str">
        <f>+IF(ESCENARIOS!J7="X",HIPOTESIS!$E$11,"")</f>
        <v/>
      </c>
      <c r="D55" s="1" t="str">
        <f>+IF(ESCENARIOS!J8="X",HIPOTESIS!$E$11,"")</f>
        <v/>
      </c>
      <c r="E55" s="1" t="str">
        <f>+IF(ESCENARIOS!J9="X",HIPOTESIS!$E$11,"")</f>
        <v/>
      </c>
      <c r="F55" s="1" t="str">
        <f>+IF(ESCENARIOS!J10="X",HIPOTESIS!$E$11,"")</f>
        <v/>
      </c>
      <c r="G55" s="1" t="str">
        <f>+IF(ESCENARIOS!J11="X",HIPOTESIS!$E$11,"")</f>
        <v/>
      </c>
      <c r="H55" s="1" t="str">
        <f>+IF(ESCENARIOS!J12="X",HIPOTESIS!$E$11,"")</f>
        <v/>
      </c>
      <c r="I55" s="1" t="str">
        <f>+IF(ESCENARIOS!J13="X",HIPOTESIS!$E$11,"")</f>
        <v/>
      </c>
      <c r="J55" s="1" t="str">
        <f>+IF(ESCENARIOS!J14="X",HIPOTESIS!$E$11,"")</f>
        <v/>
      </c>
      <c r="K55" s="1" t="str">
        <f>+IF(ESCENARIOS!J15="X",HIPOTESIS!$E$11,"")</f>
        <v/>
      </c>
      <c r="L55" s="1" t="str">
        <f>+IF(ESCENARIOS!J16="X",HIPOTESIS!$E$11,"")</f>
        <v/>
      </c>
      <c r="M55" s="1" t="str">
        <f>+IF(ESCENARIOS!J17="X",HIPOTESIS!$E$11,"")</f>
        <v/>
      </c>
      <c r="N55" s="1" t="str">
        <f>+IF(ESCENARIOS!J18="X",HIPOTESIS!$E$11,"")</f>
        <v/>
      </c>
      <c r="O55" s="1" t="str">
        <f>+IF(ESCENARIOS!J19="X",HIPOTESIS!$E$11,"")</f>
        <v/>
      </c>
      <c r="P55" s="1" t="str">
        <f>+IF(ESCENARIOS!J20="X",HIPOTESIS!$E$11,"")</f>
        <v/>
      </c>
      <c r="Q55">
        <v>9</v>
      </c>
    </row>
    <row r="56" spans="1:17" x14ac:dyDescent="0.25">
      <c r="A56" s="63" t="s">
        <v>314</v>
      </c>
      <c r="B56" s="1" t="str">
        <f>+IF(ESCENARIOS!K6="X",HIPOTESIS!$E$12,"")</f>
        <v/>
      </c>
      <c r="C56" s="1" t="str">
        <f>+IF(ESCENARIOS!K7="X",HIPOTESIS!$E$12,"")</f>
        <v/>
      </c>
      <c r="D56" s="1" t="str">
        <f>+IF(ESCENARIOS!K8="X",HIPOTESIS!$E$12,"")</f>
        <v/>
      </c>
      <c r="E56" s="1" t="str">
        <f>+IF(ESCENARIOS!K9="X",HIPOTESIS!$E$12,"")</f>
        <v/>
      </c>
      <c r="F56" s="1" t="str">
        <f>+IF(ESCENARIOS!K10="X",HIPOTESIS!$E$12,"")</f>
        <v/>
      </c>
      <c r="G56" s="1" t="str">
        <f>+IF(ESCENARIOS!K11="X",HIPOTESIS!$E$12,"")</f>
        <v/>
      </c>
      <c r="H56" s="1" t="str">
        <f>+IF(ESCENARIOS!K12="X",HIPOTESIS!$E$12,"")</f>
        <v/>
      </c>
      <c r="I56" s="1" t="str">
        <f>+IF(ESCENARIOS!K13="X",HIPOTESIS!$E$12,"")</f>
        <v/>
      </c>
      <c r="J56" s="1" t="str">
        <f>+IF(ESCENARIOS!K14="X",HIPOTESIS!$E$12,"")</f>
        <v/>
      </c>
      <c r="K56" s="1" t="str">
        <f>+IF(ESCENARIOS!K15="X",HIPOTESIS!$E$12,"")</f>
        <v/>
      </c>
      <c r="L56" s="1" t="str">
        <f>+IF(ESCENARIOS!K16="X",HIPOTESIS!$E$12,"")</f>
        <v/>
      </c>
      <c r="M56" s="1" t="str">
        <f>+IF(ESCENARIOS!K17="X",HIPOTESIS!$E$12,"")</f>
        <v/>
      </c>
      <c r="N56" s="1" t="str">
        <f>+IF(ESCENARIOS!K18="X",HIPOTESIS!$E$12,"")</f>
        <v/>
      </c>
      <c r="O56" s="1" t="str">
        <f>+IF(ESCENARIOS!K19="X",HIPOTESIS!$E$12,"")</f>
        <v/>
      </c>
      <c r="P56" s="1" t="str">
        <f>+IF(ESCENARIOS!K20="X",HIPOTESIS!$E$12,"")</f>
        <v/>
      </c>
      <c r="Q56">
        <v>10</v>
      </c>
    </row>
    <row r="57" spans="1:17" x14ac:dyDescent="0.25">
      <c r="A57" s="63" t="s">
        <v>315</v>
      </c>
      <c r="B57" s="1" t="str">
        <f>+IF(ESCENARIOS!L6="X",HIPOTESIS!$E$13,"")</f>
        <v/>
      </c>
      <c r="C57" s="1" t="str">
        <f>+IF(ESCENARIOS!L7="X",HIPOTESIS!$E$13,"")</f>
        <v/>
      </c>
      <c r="D57" s="1" t="str">
        <f>+IF(ESCENARIOS!L8="X",HIPOTESIS!$E$13,"")</f>
        <v/>
      </c>
      <c r="E57" s="1" t="str">
        <f>+IF(ESCENARIOS!L9="X",HIPOTESIS!$E$13,"")</f>
        <v/>
      </c>
      <c r="F57" s="1" t="str">
        <f>+IF(ESCENARIOS!L10="X",HIPOTESIS!$E$13,"")</f>
        <v/>
      </c>
      <c r="G57" s="1" t="str">
        <f>+IF(ESCENARIOS!L11="X",HIPOTESIS!$E$13,"")</f>
        <v/>
      </c>
      <c r="H57" s="1" t="str">
        <f>+IF(ESCENARIOS!L12="X",HIPOTESIS!$E$13,"")</f>
        <v/>
      </c>
      <c r="I57" s="1" t="str">
        <f>+IF(ESCENARIOS!L13="X",HIPOTESIS!$E$13,"")</f>
        <v/>
      </c>
      <c r="J57" s="1" t="str">
        <f>+IF(ESCENARIOS!L14="X",HIPOTESIS!$E$13,"")</f>
        <v/>
      </c>
      <c r="K57" s="1" t="str">
        <f>+IF(ESCENARIOS!L15="X",HIPOTESIS!$E$13,"")</f>
        <v/>
      </c>
      <c r="L57" s="1" t="str">
        <f>+IF(ESCENARIOS!L16="X",HIPOTESIS!$E$13,"")</f>
        <v/>
      </c>
      <c r="M57" s="1" t="str">
        <f>+IF(ESCENARIOS!L17="X",HIPOTESIS!$E$13,"")</f>
        <v/>
      </c>
      <c r="N57" s="1" t="str">
        <f>+IF(ESCENARIOS!L18="X",HIPOTESIS!$E$13,"")</f>
        <v/>
      </c>
      <c r="O57" s="1" t="str">
        <f>+IF(ESCENARIOS!L19="X",HIPOTESIS!$E$13,"")</f>
        <v/>
      </c>
      <c r="P57" s="1" t="str">
        <f>+IF(ESCENARIOS!L20="X",HIPOTESIS!$E$13,"")</f>
        <v/>
      </c>
      <c r="Q57">
        <v>11</v>
      </c>
    </row>
    <row r="58" spans="1:17" x14ac:dyDescent="0.25">
      <c r="A58" s="63" t="s">
        <v>316</v>
      </c>
      <c r="B58" s="1" t="str">
        <f>+IF(ESCENARIOS!M6="X",HIPOTESIS!$E$14,"")</f>
        <v/>
      </c>
      <c r="C58" s="1" t="str">
        <f>+IF(ESCENARIOS!M7="X",HIPOTESIS!$E$14,"")</f>
        <v/>
      </c>
      <c r="D58" s="1" t="str">
        <f>+IF(ESCENARIOS!M8="X",HIPOTESIS!$E$14,"")</f>
        <v/>
      </c>
      <c r="E58" s="1" t="str">
        <f>+IF(ESCENARIOS!M9="X",HIPOTESIS!$E$14,"")</f>
        <v/>
      </c>
      <c r="F58" s="1" t="str">
        <f>+IF(ESCENARIOS!M10="X",HIPOTESIS!$E$14,"")</f>
        <v/>
      </c>
      <c r="G58" s="1" t="str">
        <f>+IF(ESCENARIOS!M11="X",HIPOTESIS!$E$14,"")</f>
        <v/>
      </c>
      <c r="H58" s="1" t="str">
        <f>+IF(ESCENARIOS!M12="X",HIPOTESIS!$E$14,"")</f>
        <v/>
      </c>
      <c r="I58" s="1" t="str">
        <f>+IF(ESCENARIOS!M13="X",HIPOTESIS!$E$14,"")</f>
        <v/>
      </c>
      <c r="J58" s="1" t="str">
        <f>+IF(ESCENARIOS!M14="X",HIPOTESIS!$E$14,"")</f>
        <v/>
      </c>
      <c r="K58" s="1" t="str">
        <f>+IF(ESCENARIOS!M15="X",HIPOTESIS!$E$14,"")</f>
        <v/>
      </c>
      <c r="L58" s="1" t="str">
        <f>+IF(ESCENARIOS!M16="X",HIPOTESIS!$E$14,"")</f>
        <v/>
      </c>
      <c r="M58" s="1" t="str">
        <f>+IF(ESCENARIOS!M17="X",HIPOTESIS!$E$14,"")</f>
        <v/>
      </c>
      <c r="N58" s="1" t="str">
        <f>+IF(ESCENARIOS!M18="X",HIPOTESIS!$E$14,"")</f>
        <v/>
      </c>
      <c r="O58" s="1" t="str">
        <f>+IF(ESCENARIOS!M19="X",HIPOTESIS!$E$14,"")</f>
        <v/>
      </c>
      <c r="P58" s="1" t="str">
        <f>+IF(ESCENARIOS!M20="X",HIPOTESIS!$E$14,"")</f>
        <v/>
      </c>
      <c r="Q58">
        <v>12</v>
      </c>
    </row>
    <row r="59" spans="1:17" x14ac:dyDescent="0.25">
      <c r="A59" s="63" t="s">
        <v>317</v>
      </c>
      <c r="B59" s="1" t="str">
        <f>+IF(ESCENARIOS!N6="X",HIPOTESIS!$E$15,"")</f>
        <v/>
      </c>
      <c r="C59" s="1" t="str">
        <f>+IF(ESCENARIOS!N7="X",HIPOTESIS!$E$15,"")</f>
        <v/>
      </c>
      <c r="D59" s="1" t="str">
        <f>+IF(ESCENARIOS!N8="X",HIPOTESIS!$E$15,"")</f>
        <v/>
      </c>
      <c r="E59" s="1" t="str">
        <f>+IF(ESCENARIOS!N9="X",HIPOTESIS!$E$15,"")</f>
        <v/>
      </c>
      <c r="F59" s="1" t="str">
        <f>+IF(ESCENARIOS!N10="X",HIPOTESIS!$E$15,"")</f>
        <v/>
      </c>
      <c r="G59" s="1" t="str">
        <f>+IF(ESCENARIOS!N11="X",HIPOTESIS!$E$15,"")</f>
        <v/>
      </c>
      <c r="H59" s="1" t="str">
        <f>+IF(ESCENARIOS!N12="X",HIPOTESIS!$E$15,"")</f>
        <v/>
      </c>
      <c r="I59" s="1" t="str">
        <f>+IF(ESCENARIOS!N13="X",HIPOTESIS!$E$15,"")</f>
        <v/>
      </c>
      <c r="J59" s="1" t="str">
        <f>+IF(ESCENARIOS!N14="X",HIPOTESIS!$E$15,"")</f>
        <v/>
      </c>
      <c r="K59" s="1" t="str">
        <f>+IF(ESCENARIOS!N15="X",HIPOTESIS!$E$15,"")</f>
        <v/>
      </c>
      <c r="L59" s="1" t="str">
        <f>+IF(ESCENARIOS!N16="X",HIPOTESIS!$E$15,"")</f>
        <v/>
      </c>
      <c r="M59" s="1" t="str">
        <f>+IF(ESCENARIOS!N17="X",HIPOTESIS!$E$15,"")</f>
        <v/>
      </c>
      <c r="N59" s="1" t="str">
        <f>+IF(ESCENARIOS!N18="X",HIPOTESIS!$E$15,"")</f>
        <v/>
      </c>
      <c r="O59" s="1" t="str">
        <f>+IF(ESCENARIOS!N19="X",HIPOTESIS!$E$15,"")</f>
        <v/>
      </c>
      <c r="P59" s="1" t="str">
        <f>+IF(ESCENARIOS!N20="X",HIPOTESIS!$E$15,"")</f>
        <v/>
      </c>
      <c r="Q59">
        <v>13</v>
      </c>
    </row>
    <row r="60" spans="1:17" x14ac:dyDescent="0.25">
      <c r="A60" s="63" t="s">
        <v>318</v>
      </c>
      <c r="B60" s="1" t="str">
        <f>+IF(ESCENARIOS!O6="X",HIPOTESIS!$E$16,"")</f>
        <v/>
      </c>
      <c r="C60" s="1" t="str">
        <f>+IF(ESCENARIOS!O7="X",HIPOTESIS!$E$16,"")</f>
        <v/>
      </c>
      <c r="D60" s="1" t="str">
        <f>+IF(ESCENARIOS!O8="X",HIPOTESIS!$E$16,"")</f>
        <v/>
      </c>
      <c r="E60" s="1" t="str">
        <f>+IF(ESCENARIOS!O9="X",HIPOTESIS!$E$16,"")</f>
        <v/>
      </c>
      <c r="F60" s="1" t="str">
        <f>+IF(ESCENARIOS!O10="X",HIPOTESIS!$E$16,"")</f>
        <v/>
      </c>
      <c r="G60" s="1" t="str">
        <f>+IF(ESCENARIOS!O11="X",HIPOTESIS!$E$16,"")</f>
        <v/>
      </c>
      <c r="H60" s="1" t="str">
        <f>+IF(ESCENARIOS!O12="X",HIPOTESIS!$E$16,"")</f>
        <v/>
      </c>
      <c r="I60" s="1" t="str">
        <f>+IF(ESCENARIOS!O13="X",HIPOTESIS!$E$16,"")</f>
        <v/>
      </c>
      <c r="J60" s="1" t="str">
        <f>+IF(ESCENARIOS!O14="X",HIPOTESIS!$E$16,"")</f>
        <v/>
      </c>
      <c r="K60" s="1" t="str">
        <f>+IF(ESCENARIOS!O15="X",HIPOTESIS!$E$16,"")</f>
        <v/>
      </c>
      <c r="L60" s="1" t="str">
        <f>+IF(ESCENARIOS!O16="X",HIPOTESIS!$E$16,"")</f>
        <v/>
      </c>
      <c r="M60" s="1" t="str">
        <f>+IF(ESCENARIOS!O17="X",HIPOTESIS!$E$16,"")</f>
        <v/>
      </c>
      <c r="N60" s="1" t="str">
        <f>+IF(ESCENARIOS!O18="X",HIPOTESIS!$E$16,"")</f>
        <v/>
      </c>
      <c r="O60" s="1" t="str">
        <f>+IF(ESCENARIOS!O19="X",HIPOTESIS!$E$16,"")</f>
        <v/>
      </c>
      <c r="P60" s="1" t="str">
        <f>+IF(ESCENARIOS!O20="X",HIPOTESIS!$E$16,"")</f>
        <v/>
      </c>
      <c r="Q60">
        <v>14</v>
      </c>
    </row>
    <row r="61" spans="1:17" x14ac:dyDescent="0.25">
      <c r="A61" s="63" t="s">
        <v>319</v>
      </c>
      <c r="B61" s="1" t="str">
        <f>+IF(ESCENARIOS!P6="X",HIPOTESIS!$E$17,"")</f>
        <v/>
      </c>
      <c r="C61" s="1" t="str">
        <f>+IF(ESCENARIOS!P7="X",HIPOTESIS!$E$17,"")</f>
        <v/>
      </c>
      <c r="D61" s="1" t="str">
        <f>+IF(ESCENARIOS!P8="X",HIPOTESIS!$E$17,"")</f>
        <v/>
      </c>
      <c r="E61" s="1" t="str">
        <f>+IF(ESCENARIOS!P9="X",HIPOTESIS!$E$17,"")</f>
        <v/>
      </c>
      <c r="F61" s="1" t="str">
        <f>+IF(ESCENARIOS!P10="X",HIPOTESIS!$E$17,"")</f>
        <v/>
      </c>
      <c r="G61" s="1" t="str">
        <f>+IF(ESCENARIOS!P11="X",HIPOTESIS!$E$17,"")</f>
        <v/>
      </c>
      <c r="H61" s="1" t="str">
        <f>+IF(ESCENARIOS!P12="X",HIPOTESIS!$E$17,"")</f>
        <v/>
      </c>
      <c r="I61" s="1" t="str">
        <f>+IF(ESCENARIOS!P13="X",HIPOTESIS!$E$17,"")</f>
        <v/>
      </c>
      <c r="J61" s="1" t="str">
        <f>+IF(ESCENARIOS!P14="X",HIPOTESIS!$E$17,"")</f>
        <v/>
      </c>
      <c r="K61" s="1" t="str">
        <f>+IF(ESCENARIOS!P15="X",HIPOTESIS!$E$17,"")</f>
        <v/>
      </c>
      <c r="L61" s="1" t="str">
        <f>+IF(ESCENARIOS!P16="X",HIPOTESIS!$E$17,"")</f>
        <v/>
      </c>
      <c r="M61" s="1" t="str">
        <f>+IF(ESCENARIOS!P17="X",HIPOTESIS!$E$17,"")</f>
        <v/>
      </c>
      <c r="N61" s="1" t="str">
        <f>+IF(ESCENARIOS!P18="X",HIPOTESIS!$E$17,"")</f>
        <v/>
      </c>
      <c r="O61" s="1" t="str">
        <f>+IF(ESCENARIOS!P19="X",HIPOTESIS!$E$17,"")</f>
        <v/>
      </c>
      <c r="P61" s="1" t="str">
        <f>+IF(ESCENARIOS!P20="X",HIPOTESIS!$E$17,"")</f>
        <v/>
      </c>
      <c r="Q61">
        <v>15</v>
      </c>
    </row>
    <row r="62" spans="1:17" x14ac:dyDescent="0.25">
      <c r="A62" s="63" t="s">
        <v>320</v>
      </c>
      <c r="B62" s="1" t="str">
        <f>+IF(ESCENARIOS!Q6="X",HIPOTESIS!$E$18,"")</f>
        <v/>
      </c>
      <c r="C62" s="1" t="str">
        <f>+IF(ESCENARIOS!Q7="X",HIPOTESIS!$E$18,"")</f>
        <v/>
      </c>
      <c r="D62" s="1" t="str">
        <f>+IF(ESCENARIOS!Q8="X",HIPOTESIS!$E$18,"")</f>
        <v/>
      </c>
      <c r="E62" s="1" t="str">
        <f>+IF(ESCENARIOS!Q9="X",HIPOTESIS!$E$18,"")</f>
        <v/>
      </c>
      <c r="F62" s="1" t="str">
        <f>+IF(ESCENARIOS!Q10="X",HIPOTESIS!$E$18,"")</f>
        <v/>
      </c>
      <c r="G62" s="1" t="str">
        <f>+IF(ESCENARIOS!Q11="X",HIPOTESIS!$E$18,"")</f>
        <v/>
      </c>
      <c r="H62" s="1" t="str">
        <f>+IF(ESCENARIOS!Q12="X",HIPOTESIS!$E$18,"")</f>
        <v/>
      </c>
      <c r="I62" s="1" t="str">
        <f>+IF(ESCENARIOS!Q13="X",HIPOTESIS!$E$18,"")</f>
        <v/>
      </c>
      <c r="J62" s="1" t="str">
        <f>+IF(ESCENARIOS!Q14="X",HIPOTESIS!$E$18,"")</f>
        <v/>
      </c>
      <c r="K62" s="1" t="str">
        <f>+IF(ESCENARIOS!Q15="X",HIPOTESIS!$E$18,"")</f>
        <v/>
      </c>
      <c r="L62" s="1" t="str">
        <f>+IF(ESCENARIOS!Q16="X",HIPOTESIS!$E$18,"")</f>
        <v/>
      </c>
      <c r="M62" s="1" t="str">
        <f>+IF(ESCENARIOS!Q17="X",HIPOTESIS!$E$18,"")</f>
        <v/>
      </c>
      <c r="N62" s="1" t="str">
        <f>+IF(ESCENARIOS!Q18="X",HIPOTESIS!$E$18,"")</f>
        <v/>
      </c>
      <c r="O62" s="1" t="str">
        <f>+IF(ESCENARIOS!Q19="X",HIPOTESIS!$E$18,"")</f>
        <v/>
      </c>
      <c r="P62" s="1" t="str">
        <f>+IF(ESCENARIOS!Q20="X",HIPOTESIS!$E$18,"")</f>
        <v/>
      </c>
      <c r="Q62">
        <v>16</v>
      </c>
    </row>
    <row r="63" spans="1:17" x14ac:dyDescent="0.25">
      <c r="A63" s="63" t="s">
        <v>321</v>
      </c>
      <c r="B63" s="1" t="str">
        <f>+IF(ESCENARIOS!R6="X",HIPOTESIS!$E$19,"")</f>
        <v/>
      </c>
      <c r="C63" s="1" t="str">
        <f>+IF(ESCENARIOS!R7="X",HIPOTESIS!$E$19,"")</f>
        <v/>
      </c>
      <c r="D63" s="1" t="str">
        <f>+IF(ESCENARIOS!R8="X",HIPOTESIS!$E$19,"")</f>
        <v/>
      </c>
      <c r="E63" s="1" t="str">
        <f>+IF(ESCENARIOS!R9="X",HIPOTESIS!$E$19,"")</f>
        <v/>
      </c>
      <c r="F63" s="1" t="str">
        <f>+IF(ESCENARIOS!R10="X",HIPOTESIS!$E$19,"")</f>
        <v/>
      </c>
      <c r="G63" s="1" t="str">
        <f>+IF(ESCENARIOS!R11="X",HIPOTESIS!$E$19,"")</f>
        <v/>
      </c>
      <c r="H63" s="1" t="str">
        <f>+IF(ESCENARIOS!R12="X",HIPOTESIS!$E$19,"")</f>
        <v/>
      </c>
      <c r="I63" s="1" t="str">
        <f>+IF(ESCENARIOS!R13="X",HIPOTESIS!$E$19,"")</f>
        <v/>
      </c>
      <c r="J63" s="1" t="str">
        <f>+IF(ESCENARIOS!R14="X",HIPOTESIS!$E$19,"")</f>
        <v/>
      </c>
      <c r="K63" s="1" t="str">
        <f>+IF(ESCENARIOS!R15="X",HIPOTESIS!$E$19,"")</f>
        <v/>
      </c>
      <c r="L63" s="1" t="str">
        <f>+IF(ESCENARIOS!R16="X",HIPOTESIS!$E$19,"")</f>
        <v/>
      </c>
      <c r="M63" s="1" t="str">
        <f>+IF(ESCENARIOS!R17="X",HIPOTESIS!$E$19,"")</f>
        <v/>
      </c>
      <c r="N63" s="1" t="str">
        <f>+IF(ESCENARIOS!R18="X",HIPOTESIS!$E$19,"")</f>
        <v/>
      </c>
      <c r="O63" s="1" t="str">
        <f>+IF(ESCENARIOS!R19="X",HIPOTESIS!$E$19,"")</f>
        <v/>
      </c>
      <c r="P63" s="1" t="str">
        <f>+IF(ESCENARIOS!R20="X",HIPOTESIS!$E$19,"")</f>
        <v/>
      </c>
      <c r="Q63">
        <v>17</v>
      </c>
    </row>
    <row r="64" spans="1:17" x14ac:dyDescent="0.25">
      <c r="A64" s="63" t="s">
        <v>325</v>
      </c>
      <c r="B64" s="1" t="str">
        <f>+IF(ESCENARIOS!S6="X",HIPOTESIS!$E$20,"")</f>
        <v/>
      </c>
      <c r="C64" s="1" t="str">
        <f>+IF(ESCENARIOS!S7="X",HIPOTESIS!$E$20,"")</f>
        <v/>
      </c>
      <c r="D64" s="1" t="str">
        <f>+IF(ESCENARIOS!S8="X",HIPOTESIS!$E$20,"")</f>
        <v/>
      </c>
      <c r="E64" s="1" t="str">
        <f>+IF(ESCENARIOS!S9="X",HIPOTESIS!$E$20,"")</f>
        <v/>
      </c>
      <c r="F64" s="1" t="str">
        <f>+IF(ESCENARIOS!S10="X",HIPOTESIS!$E$20,"")</f>
        <v/>
      </c>
      <c r="G64" s="1" t="str">
        <f>+IF(ESCENARIOS!S11="X",HIPOTESIS!$E$20,"")</f>
        <v/>
      </c>
      <c r="H64" s="1" t="str">
        <f>+IF(ESCENARIOS!S12="X",HIPOTESIS!$E$20,"")</f>
        <v/>
      </c>
      <c r="I64" s="1" t="str">
        <f>+IF(ESCENARIOS!S13="X",HIPOTESIS!$E$20,"")</f>
        <v/>
      </c>
      <c r="J64" s="1" t="str">
        <f>+IF(ESCENARIOS!S14="X",HIPOTESIS!$E$20,"")</f>
        <v/>
      </c>
      <c r="K64" s="1" t="str">
        <f>+IF(ESCENARIOS!S15="X",HIPOTESIS!$E$20,"")</f>
        <v/>
      </c>
      <c r="L64" s="1" t="str">
        <f>+IF(ESCENARIOS!S16="X",HIPOTESIS!$E$20,"")</f>
        <v/>
      </c>
      <c r="M64" s="1" t="str">
        <f>+IF(ESCENARIOS!S17="X",HIPOTESIS!$E$20,"")</f>
        <v/>
      </c>
      <c r="N64" s="1" t="str">
        <f>+IF(ESCENARIOS!S18="X",HIPOTESIS!$E$20,"")</f>
        <v/>
      </c>
      <c r="O64" s="1" t="str">
        <f>+IF(ESCENARIOS!S19="X",HIPOTESIS!$E$20,"")</f>
        <v/>
      </c>
      <c r="P64" s="1" t="str">
        <f>+IF(ESCENARIOS!S20="X",HIPOTESIS!$E$20,"")</f>
        <v/>
      </c>
      <c r="Q64">
        <v>18</v>
      </c>
    </row>
    <row r="65" spans="1:17" x14ac:dyDescent="0.25">
      <c r="A65" s="63" t="s">
        <v>322</v>
      </c>
      <c r="B65" s="1" t="str">
        <f>+IF(ESCENARIOS!T6="X",HIPOTESIS!$E$21,"")</f>
        <v/>
      </c>
      <c r="C65" s="1" t="str">
        <f>+IF(ESCENARIOS!T7="X",HIPOTESIS!$E$21,"")</f>
        <v/>
      </c>
      <c r="D65" s="1" t="str">
        <f>+IF(ESCENARIOS!T8="X",HIPOTESIS!$E$21,"")</f>
        <v/>
      </c>
      <c r="E65" s="1" t="str">
        <f>+IF(ESCENARIOS!T9="X",HIPOTESIS!$E$21,"")</f>
        <v/>
      </c>
      <c r="F65" s="1" t="str">
        <f>+IF(ESCENARIOS!T10="X",HIPOTESIS!$E$21,"")</f>
        <v/>
      </c>
      <c r="G65" s="1" t="str">
        <f>+IF(ESCENARIOS!T11="X",HIPOTESIS!$E$21,"")</f>
        <v/>
      </c>
      <c r="H65" s="1" t="str">
        <f>+IF(ESCENARIOS!T12="X",HIPOTESIS!$E$21,"")</f>
        <v/>
      </c>
      <c r="I65" s="1" t="str">
        <f>+IF(ESCENARIOS!T13="X",HIPOTESIS!$E$21,"")</f>
        <v/>
      </c>
      <c r="J65" s="1" t="str">
        <f>+IF(ESCENARIOS!T14="X",HIPOTESIS!$E$21,"")</f>
        <v/>
      </c>
      <c r="K65" s="1" t="str">
        <f>+IF(ESCENARIOS!T15="X",HIPOTESIS!$E$21,"")</f>
        <v/>
      </c>
      <c r="L65" s="1" t="str">
        <f>+IF(ESCENARIOS!T16="X",HIPOTESIS!$E$21,"")</f>
        <v/>
      </c>
      <c r="M65" s="1" t="str">
        <f>+IF(ESCENARIOS!T17="X",HIPOTESIS!$E$21,"")</f>
        <v/>
      </c>
      <c r="N65" s="1" t="str">
        <f>+IF(ESCENARIOS!T18="X",HIPOTESIS!$E$21,"")</f>
        <v/>
      </c>
      <c r="O65" s="1" t="str">
        <f>+IF(ESCENARIOS!T19="X",HIPOTESIS!$E$21,"")</f>
        <v/>
      </c>
      <c r="P65" s="1" t="str">
        <f>+IF(ESCENARIOS!T20="X",HIPOTESIS!$E$21,"")</f>
        <v/>
      </c>
      <c r="Q65">
        <v>19</v>
      </c>
    </row>
    <row r="66" spans="1:17" x14ac:dyDescent="0.25">
      <c r="A66" s="63" t="s">
        <v>323</v>
      </c>
      <c r="B66" s="1" t="str">
        <f>+IF(ESCENARIOS!U6="X",HIPOTESIS!$E$22,"")</f>
        <v/>
      </c>
      <c r="C66" s="1" t="str">
        <f>+IF(ESCENARIOS!U7="X",HIPOTESIS!$E$22,"")</f>
        <v/>
      </c>
      <c r="D66" s="1" t="str">
        <f>+IF(ESCENARIOS!U8="X",HIPOTESIS!$E$22,"")</f>
        <v/>
      </c>
      <c r="E66" s="1" t="str">
        <f>+IF(ESCENARIOS!U9="X",HIPOTESIS!$E$22,"")</f>
        <v/>
      </c>
      <c r="F66" s="1" t="str">
        <f>+IF(ESCENARIOS!U10="X",HIPOTESIS!$E$22,"")</f>
        <v/>
      </c>
      <c r="G66" s="1" t="str">
        <f>+IF(ESCENARIOS!U11="X",HIPOTESIS!$E$22,"")</f>
        <v/>
      </c>
      <c r="H66" s="1" t="str">
        <f>+IF(ESCENARIOS!U12="X",HIPOTESIS!$E$22,"")</f>
        <v/>
      </c>
      <c r="I66" s="1" t="str">
        <f>+IF(ESCENARIOS!U13="X",HIPOTESIS!$E$22,"")</f>
        <v/>
      </c>
      <c r="J66" s="1" t="str">
        <f>+IF(ESCENARIOS!U14="X",HIPOTESIS!$E$22,"")</f>
        <v/>
      </c>
      <c r="K66" s="1" t="str">
        <f>+IF(ESCENARIOS!U15="X",HIPOTESIS!$E$22,"")</f>
        <v/>
      </c>
      <c r="L66" s="1" t="str">
        <f>+IF(ESCENARIOS!U16="X",HIPOTESIS!$E$22,"")</f>
        <v/>
      </c>
      <c r="M66" s="1" t="str">
        <f>+IF(ESCENARIOS!U17="X",HIPOTESIS!$E$22,"")</f>
        <v/>
      </c>
      <c r="N66" s="1" t="str">
        <f>+IF(ESCENARIOS!U18="X",HIPOTESIS!$E$22,"")</f>
        <v/>
      </c>
      <c r="O66" s="1" t="str">
        <f>+IF(ESCENARIOS!U19="X",HIPOTESIS!$E$22,"")</f>
        <v/>
      </c>
      <c r="P66" s="1" t="str">
        <f>+IF(ESCENARIOS!U20="X",HIPOTESIS!$E$22,"")</f>
        <v/>
      </c>
      <c r="Q66">
        <v>20</v>
      </c>
    </row>
    <row r="67" spans="1:17" x14ac:dyDescent="0.25">
      <c r="A67" s="63" t="s">
        <v>324</v>
      </c>
      <c r="B67" s="1" t="str">
        <f>+IF(ESCENARIOS!V6="X",HIPOTESIS!$E$23,"")</f>
        <v/>
      </c>
      <c r="C67" s="1" t="str">
        <f>+IF(ESCENARIOS!V7="X",HIPOTESIS!$E$23,"")</f>
        <v/>
      </c>
      <c r="D67" s="1" t="str">
        <f>+IF(ESCENARIOS!V8="X",HIPOTESIS!$E$23,"")</f>
        <v/>
      </c>
      <c r="E67" s="1" t="str">
        <f>+IF(ESCENARIOS!V9="X",HIPOTESIS!$E$23,"")</f>
        <v/>
      </c>
      <c r="F67" s="1" t="str">
        <f>+IF(ESCENARIOS!V10="X",HIPOTESIS!$E$23,"")</f>
        <v/>
      </c>
      <c r="G67" s="1" t="str">
        <f>+IF(ESCENARIOS!V11="X",HIPOTESIS!$E$23,"")</f>
        <v/>
      </c>
      <c r="H67" s="1" t="str">
        <f>+IF(ESCENARIOS!V12="X",HIPOTESIS!$E$23,"")</f>
        <v/>
      </c>
      <c r="I67" s="1" t="str">
        <f>+IF(ESCENARIOS!V13="X",HIPOTESIS!$E$23,"")</f>
        <v/>
      </c>
      <c r="J67" s="1" t="str">
        <f>+IF(ESCENARIOS!V14="X",HIPOTESIS!$E$23,"")</f>
        <v/>
      </c>
      <c r="K67" s="1" t="str">
        <f>+IF(ESCENARIOS!V15="X",HIPOTESIS!$E$23,"")</f>
        <v/>
      </c>
      <c r="L67" s="1" t="str">
        <f>+IF(ESCENARIOS!V16="X",HIPOTESIS!$E$23,"")</f>
        <v/>
      </c>
      <c r="M67" s="1" t="str">
        <f>+IF(ESCENARIOS!V17="X",HIPOTESIS!$E$23,"")</f>
        <v/>
      </c>
      <c r="N67" s="1" t="str">
        <f>+IF(ESCENARIOS!V18="X",HIPOTESIS!$E$23,"")</f>
        <v/>
      </c>
      <c r="O67" s="1" t="str">
        <f>+IF(ESCENARIOS!V19="X",HIPOTESIS!$E$23,"")</f>
        <v/>
      </c>
      <c r="P67" s="1" t="str">
        <f>+IF(ESCENARIOS!V20="X",HIPOTESIS!$E$23,"")</f>
        <v/>
      </c>
      <c r="Q67">
        <v>21</v>
      </c>
    </row>
    <row r="68" spans="1:17" x14ac:dyDescent="0.25">
      <c r="A68" s="63" t="s">
        <v>326</v>
      </c>
      <c r="B68" s="1" t="str">
        <f>+IF(ESCENARIOS!W6="X",HIPOTESIS!$E$24,"")</f>
        <v/>
      </c>
      <c r="C68" s="1" t="str">
        <f>+IF(ESCENARIOS!W7="X",HIPOTESIS!$E$24,"")</f>
        <v/>
      </c>
      <c r="D68" s="1" t="str">
        <f>+IF(ESCENARIOS!W8="X",HIPOTESIS!$E$24,"")</f>
        <v/>
      </c>
      <c r="E68" s="1" t="str">
        <f>+IF(ESCENARIOS!W9="X",HIPOTESIS!$E$24,"")</f>
        <v/>
      </c>
      <c r="F68" s="1" t="str">
        <f>+IF(ESCENARIOS!W10="X",HIPOTESIS!$E$24,"")</f>
        <v/>
      </c>
      <c r="G68" s="1" t="str">
        <f>+IF(ESCENARIOS!W11="X",HIPOTESIS!$E$24,"")</f>
        <v/>
      </c>
      <c r="H68" s="1" t="str">
        <f>+IF(ESCENARIOS!W12="X",HIPOTESIS!$E$24,"")</f>
        <v/>
      </c>
      <c r="I68" s="1" t="str">
        <f>+IF(ESCENARIOS!W13="X",HIPOTESIS!$E$24,"")</f>
        <v/>
      </c>
      <c r="J68" s="1" t="str">
        <f>+IF(ESCENARIOS!W14="X",HIPOTESIS!$E$24,"")</f>
        <v/>
      </c>
      <c r="K68" s="1" t="str">
        <f>+IF(ESCENARIOS!W15="X",HIPOTESIS!$E$24,"")</f>
        <v/>
      </c>
      <c r="L68" s="1" t="str">
        <f>+IF(ESCENARIOS!W16="X",HIPOTESIS!$E$24,"")</f>
        <v/>
      </c>
      <c r="M68" s="1" t="str">
        <f>+IF(ESCENARIOS!W17="X",HIPOTESIS!$E$24,"")</f>
        <v/>
      </c>
      <c r="N68" s="1" t="str">
        <f>+IF(ESCENARIOS!W18="X",HIPOTESIS!$E$24,"")</f>
        <v/>
      </c>
      <c r="O68" s="1" t="str">
        <f>+IF(ESCENARIOS!W19="X",HIPOTESIS!$E$24,"")</f>
        <v/>
      </c>
      <c r="P68" s="1" t="str">
        <f>+IF(ESCENARIOS!W20="X",HIPOTESIS!$E$24,"")</f>
        <v/>
      </c>
      <c r="Q68">
        <v>22</v>
      </c>
    </row>
    <row r="69" spans="1:17" x14ac:dyDescent="0.25">
      <c r="A69" s="63" t="s">
        <v>334</v>
      </c>
      <c r="B69" s="1" t="str">
        <f>+IF(ESCENARIOS!X6="X",HIPOTESIS!$E$25,"")</f>
        <v/>
      </c>
      <c r="C69" s="1" t="str">
        <f>+IF(ESCENARIOS!X7="X",HIPOTESIS!$E$25,"")</f>
        <v/>
      </c>
      <c r="D69" s="1" t="str">
        <f>+IF(ESCENARIOS!X8="X",HIPOTESIS!$E$25,"")</f>
        <v/>
      </c>
      <c r="E69" s="1" t="str">
        <f>+IF(ESCENARIOS!X9="X",HIPOTESIS!$E$25,"")</f>
        <v/>
      </c>
      <c r="F69" s="1" t="str">
        <f>+IF(ESCENARIOS!X10="X",HIPOTESIS!$E$25,"")</f>
        <v/>
      </c>
      <c r="G69" s="1" t="str">
        <f>+IF(ESCENARIOS!X11="X",HIPOTESIS!$E$25,"")</f>
        <v/>
      </c>
      <c r="H69" s="1" t="str">
        <f>+IF(ESCENARIOS!X12="X",HIPOTESIS!$E$25,"")</f>
        <v/>
      </c>
      <c r="I69" s="1" t="str">
        <f>+IF(ESCENARIOS!X13="X",HIPOTESIS!$E$25,"")</f>
        <v/>
      </c>
      <c r="J69" s="1" t="str">
        <f>+IF(ESCENARIOS!X14="X",HIPOTESIS!$E$25,"")</f>
        <v/>
      </c>
      <c r="K69" s="1" t="str">
        <f>+IF(ESCENARIOS!X15="X",HIPOTESIS!$E$25,"")</f>
        <v/>
      </c>
      <c r="L69" s="1" t="str">
        <f>+IF(ESCENARIOS!X16="X",HIPOTESIS!$E$25,"")</f>
        <v/>
      </c>
      <c r="M69" s="1" t="str">
        <f>+IF(ESCENARIOS!X17="X",HIPOTESIS!$E$25,"")</f>
        <v/>
      </c>
      <c r="N69" s="1" t="str">
        <f>+IF(ESCENARIOS!X18="X",HIPOTESIS!$E$25,"")</f>
        <v/>
      </c>
      <c r="O69" s="1" t="str">
        <f>+IF(ESCENARIOS!X19="X",HIPOTESIS!$E$25,"")</f>
        <v/>
      </c>
      <c r="P69" s="1" t="str">
        <f>+IF(ESCENARIOS!X20="X",HIPOTESIS!$E$25,"")</f>
        <v/>
      </c>
      <c r="Q69">
        <v>23</v>
      </c>
    </row>
    <row r="70" spans="1:17" x14ac:dyDescent="0.25">
      <c r="A70" s="63" t="s">
        <v>142</v>
      </c>
      <c r="B70" s="1" t="str">
        <f>+IF(ESCENARIOS!Y6="X",HIPOTESIS!$E$26,"")</f>
        <v/>
      </c>
      <c r="C70" s="1" t="str">
        <f>+IF(ESCENARIOS!Y7="X",HIPOTESIS!$E$26,"")</f>
        <v/>
      </c>
      <c r="D70" s="1" t="str">
        <f>+IF(ESCENARIOS!Y8="X",HIPOTESIS!$E$26,"")</f>
        <v/>
      </c>
      <c r="E70" s="1" t="str">
        <f>+IF(ESCENARIOS!Y9="X",HIPOTESIS!$E$26,"")</f>
        <v/>
      </c>
      <c r="F70" s="1" t="str">
        <f>+IF(ESCENARIOS!Y10="X",HIPOTESIS!$E$26,"")</f>
        <v/>
      </c>
      <c r="G70" s="1" t="str">
        <f>+IF(ESCENARIOS!Y11="X",HIPOTESIS!$E$26,"")</f>
        <v/>
      </c>
      <c r="H70" s="1" t="str">
        <f>+IF(ESCENARIOS!Y12="X",HIPOTESIS!$E$26,"")</f>
        <v/>
      </c>
      <c r="I70" s="1" t="str">
        <f>+IF(ESCENARIOS!Y13="X",HIPOTESIS!$E$26,"")</f>
        <v/>
      </c>
      <c r="J70" s="1" t="str">
        <f>+IF(ESCENARIOS!Y14="X",HIPOTESIS!$E$26,"")</f>
        <v/>
      </c>
      <c r="K70" s="1" t="str">
        <f>+IF(ESCENARIOS!Y15="X",HIPOTESIS!$E$26,"")</f>
        <v/>
      </c>
      <c r="L70" s="1" t="str">
        <f>+IF(ESCENARIOS!Y16="X",HIPOTESIS!$E$26,"")</f>
        <v/>
      </c>
      <c r="M70" s="1" t="str">
        <f>+IF(ESCENARIOS!Y17="X",HIPOTESIS!$E$26,"")</f>
        <v/>
      </c>
      <c r="N70" s="1" t="str">
        <f>+IF(ESCENARIOS!Y18="X",HIPOTESIS!$E$26,"")</f>
        <v/>
      </c>
      <c r="O70" s="1" t="str">
        <f>+IF(ESCENARIOS!Y19="X",HIPOTESIS!$E$26,"")</f>
        <v/>
      </c>
      <c r="P70" s="1" t="str">
        <f>+IF(ESCENARIOS!Y20="X",HIPOTESIS!$E$26,"")</f>
        <v/>
      </c>
      <c r="Q70">
        <v>24</v>
      </c>
    </row>
    <row r="71" spans="1:17" x14ac:dyDescent="0.25">
      <c r="A71" s="63" t="s">
        <v>327</v>
      </c>
      <c r="B71" s="1" t="str">
        <f>+IF(ESCENARIOS!Z6="X",HIPOTESIS!$E$27,"")</f>
        <v/>
      </c>
      <c r="C71" s="1" t="str">
        <f>+IF(ESCENARIOS!Z7="X",HIPOTESIS!$E$27,"")</f>
        <v/>
      </c>
      <c r="D71" s="1" t="str">
        <f>+IF(ESCENARIOS!Z8="X",HIPOTESIS!$E$27,"")</f>
        <v/>
      </c>
      <c r="E71" s="1" t="str">
        <f>+IF(ESCENARIOS!Z9="X",HIPOTESIS!$E$27,"")</f>
        <v/>
      </c>
      <c r="F71" s="1" t="str">
        <f>+IF(ESCENARIOS!Z10="X",HIPOTESIS!$E$27,"")</f>
        <v/>
      </c>
      <c r="G71" s="1" t="str">
        <f>+IF(ESCENARIOS!Z11="X",HIPOTESIS!$E$27,"")</f>
        <v/>
      </c>
      <c r="H71" s="1" t="str">
        <f>+IF(ESCENARIOS!Z12="X",HIPOTESIS!$E$27,"")</f>
        <v/>
      </c>
      <c r="I71" s="1" t="str">
        <f>+IF(ESCENARIOS!Z13="X",HIPOTESIS!$E$27,"")</f>
        <v/>
      </c>
      <c r="J71" s="1" t="str">
        <f>+IF(ESCENARIOS!Z14="X",HIPOTESIS!$E$27,"")</f>
        <v/>
      </c>
      <c r="K71" s="1" t="str">
        <f>+IF(ESCENARIOS!Z15="X",HIPOTESIS!$E$27,"")</f>
        <v/>
      </c>
      <c r="L71" s="1" t="str">
        <f>+IF(ESCENARIOS!Z16="X",HIPOTESIS!$E$27,"")</f>
        <v/>
      </c>
      <c r="M71" s="1" t="str">
        <f>+IF(ESCENARIOS!Z17="X",HIPOTESIS!$E$27,"")</f>
        <v/>
      </c>
      <c r="N71" s="1" t="str">
        <f>+IF(ESCENARIOS!Z18="X",HIPOTESIS!$E$27,"")</f>
        <v/>
      </c>
      <c r="O71" s="1" t="str">
        <f>+IF(ESCENARIOS!Z19="X",HIPOTESIS!$E$27,"")</f>
        <v/>
      </c>
      <c r="P71" s="1" t="str">
        <f>+IF(ESCENARIOS!Z20="X",HIPOTESIS!$E$27,"")</f>
        <v/>
      </c>
      <c r="Q71">
        <v>25</v>
      </c>
    </row>
    <row r="72" spans="1:17" x14ac:dyDescent="0.25">
      <c r="A72" s="63" t="s">
        <v>328</v>
      </c>
      <c r="B72" s="1" t="str">
        <f>+IF(ESCENARIOS!AA6="X",HIPOTESIS!$E$28,"")</f>
        <v/>
      </c>
      <c r="C72" s="1" t="str">
        <f>+IF(ESCENARIOS!AA7="X",HIPOTESIS!$E$28,"")</f>
        <v/>
      </c>
      <c r="D72" s="1" t="str">
        <f>+IF(ESCENARIOS!AA8="X",HIPOTESIS!$E$28,"")</f>
        <v/>
      </c>
      <c r="E72" s="1" t="str">
        <f>+IF(ESCENARIOS!AA9="X",HIPOTESIS!$E$28,"")</f>
        <v/>
      </c>
      <c r="F72" s="1" t="str">
        <f>+IF(ESCENARIOS!AA10="X",HIPOTESIS!$E$28,"")</f>
        <v/>
      </c>
      <c r="G72" s="1" t="str">
        <f>+IF(ESCENARIOS!AA11="X",HIPOTESIS!$E$28,"")</f>
        <v/>
      </c>
      <c r="H72" s="1" t="str">
        <f>+IF(ESCENARIOS!AA12="X",HIPOTESIS!$E$28,"")</f>
        <v/>
      </c>
      <c r="I72" s="1" t="str">
        <f>+IF(ESCENARIOS!AA13="X",HIPOTESIS!$E$28,"")</f>
        <v/>
      </c>
      <c r="J72" s="1" t="str">
        <f>+IF(ESCENARIOS!AA14="X",HIPOTESIS!$E$28,"")</f>
        <v/>
      </c>
      <c r="K72" s="1" t="str">
        <f>+IF(ESCENARIOS!AA15="X",HIPOTESIS!$E$28,"")</f>
        <v/>
      </c>
      <c r="L72" s="1" t="str">
        <f>+IF(ESCENARIOS!AA16="X",HIPOTESIS!$E$28,"")</f>
        <v/>
      </c>
      <c r="M72" s="1" t="str">
        <f>+IF(ESCENARIOS!AA17="X",HIPOTESIS!$E$28,"")</f>
        <v/>
      </c>
      <c r="N72" s="1" t="str">
        <f>+IF(ESCENARIOS!AA18="X",HIPOTESIS!$E$28,"")</f>
        <v/>
      </c>
      <c r="O72" s="1" t="str">
        <f>+IF(ESCENARIOS!AA19="X",HIPOTESIS!$E$28,"")</f>
        <v/>
      </c>
      <c r="P72" s="1" t="str">
        <f>+IF(ESCENARIOS!AA20="X",HIPOTESIS!$E$28,"")</f>
        <v/>
      </c>
      <c r="Q72">
        <v>26</v>
      </c>
    </row>
    <row r="73" spans="1:17" x14ac:dyDescent="0.25">
      <c r="A73" s="63" t="s">
        <v>329</v>
      </c>
      <c r="B73" s="1" t="str">
        <f>+IF(ESCENARIOS!AB6="X",HIPOTESIS!$E$29,"")</f>
        <v/>
      </c>
      <c r="C73" s="1" t="str">
        <f>+IF(ESCENARIOS!AB7="X",HIPOTESIS!$E$29,"")</f>
        <v/>
      </c>
      <c r="D73" s="1" t="str">
        <f>+IF(ESCENARIOS!AB8="X",HIPOTESIS!$E$29,"")</f>
        <v/>
      </c>
      <c r="E73" s="1" t="str">
        <f>+IF(ESCENARIOS!AB9="X",HIPOTESIS!$E$29,"")</f>
        <v/>
      </c>
      <c r="F73" s="1" t="str">
        <f>+IF(ESCENARIOS!AB10="X",HIPOTESIS!$E$29,"")</f>
        <v/>
      </c>
      <c r="G73" s="1" t="str">
        <f>+IF(ESCENARIOS!AB11="X",HIPOTESIS!$E$29,"")</f>
        <v/>
      </c>
      <c r="H73" s="1" t="str">
        <f>+IF(ESCENARIOS!AB12="X",HIPOTESIS!$E$29,"")</f>
        <v/>
      </c>
      <c r="I73" s="1" t="str">
        <f>+IF(ESCENARIOS!AB13="X",HIPOTESIS!$E$29,"")</f>
        <v/>
      </c>
      <c r="J73" s="1" t="str">
        <f>+IF(ESCENARIOS!AB14="X",HIPOTESIS!$E$29,"")</f>
        <v/>
      </c>
      <c r="K73" s="1" t="str">
        <f>+IF(ESCENARIOS!AB15="X",HIPOTESIS!$E$29,"")</f>
        <v/>
      </c>
      <c r="L73" s="1" t="str">
        <f>+IF(ESCENARIOS!AB16="X",HIPOTESIS!$E$29,"")</f>
        <v/>
      </c>
      <c r="M73" s="1" t="str">
        <f>+IF(ESCENARIOS!AB17="X",HIPOTESIS!$E$29,"")</f>
        <v/>
      </c>
      <c r="N73" s="1" t="str">
        <f>+IF(ESCENARIOS!AB18="X",HIPOTESIS!$E$29,"")</f>
        <v/>
      </c>
      <c r="O73" s="1" t="str">
        <f>+IF(ESCENARIOS!AB19="X",HIPOTESIS!$E$29,"")</f>
        <v/>
      </c>
      <c r="P73" s="1" t="str">
        <f>+IF(ESCENARIOS!AB20="X",HIPOTESIS!$E$29,"")</f>
        <v/>
      </c>
      <c r="Q73">
        <v>27</v>
      </c>
    </row>
    <row r="74" spans="1:17" x14ac:dyDescent="0.25">
      <c r="A74" s="63" t="s">
        <v>330</v>
      </c>
      <c r="B74" s="1" t="str">
        <f>+IF(ESCENARIOS!AC6="X",HIPOTESIS!$E$30,"")</f>
        <v/>
      </c>
      <c r="C74" s="1" t="str">
        <f>+IF(ESCENARIOS!AC7="X",HIPOTESIS!$E$30,"")</f>
        <v/>
      </c>
      <c r="D74" s="1" t="str">
        <f>+IF(ESCENARIOS!AC8="X",HIPOTESIS!$E$30,"")</f>
        <v/>
      </c>
      <c r="E74" s="1" t="str">
        <f>+IF(ESCENARIOS!AC9="X",HIPOTESIS!$E$30,"")</f>
        <v/>
      </c>
      <c r="F74" s="1" t="str">
        <f>+IF(ESCENARIOS!AC10="X",HIPOTESIS!$E$30,"")</f>
        <v/>
      </c>
      <c r="G74" s="1" t="str">
        <f>+IF(ESCENARIOS!AC11="X",HIPOTESIS!$E$30,"")</f>
        <v/>
      </c>
      <c r="H74" s="1" t="str">
        <f>+IF(ESCENARIOS!AC12="X",HIPOTESIS!$E$30,"")</f>
        <v/>
      </c>
      <c r="I74" s="1" t="str">
        <f>+IF(ESCENARIOS!AC13="X",HIPOTESIS!$E$30,"")</f>
        <v/>
      </c>
      <c r="J74" s="1" t="str">
        <f>+IF(ESCENARIOS!AC14="X",HIPOTESIS!$E$30,"")</f>
        <v/>
      </c>
      <c r="K74" s="1" t="str">
        <f>+IF(ESCENARIOS!AC15="X",HIPOTESIS!$E$30,"")</f>
        <v/>
      </c>
      <c r="L74" s="1" t="str">
        <f>+IF(ESCENARIOS!AC16="X",HIPOTESIS!$E$30,"")</f>
        <v/>
      </c>
      <c r="M74" s="1" t="str">
        <f>+IF(ESCENARIOS!AC17="X",HIPOTESIS!$E$30,"")</f>
        <v/>
      </c>
      <c r="N74" s="1" t="str">
        <f>+IF(ESCENARIOS!AC18="X",HIPOTESIS!$E$30,"")</f>
        <v/>
      </c>
      <c r="O74" s="1" t="str">
        <f>+IF(ESCENARIOS!AC19="X",HIPOTESIS!$E$30,"")</f>
        <v/>
      </c>
      <c r="P74" s="1" t="str">
        <f>+IF(ESCENARIOS!AC20="X",HIPOTESIS!$E$30,"")</f>
        <v/>
      </c>
      <c r="Q74">
        <v>28</v>
      </c>
    </row>
    <row r="75" spans="1:17" x14ac:dyDescent="0.25">
      <c r="A75" s="63" t="s">
        <v>331</v>
      </c>
      <c r="B75" s="1" t="str">
        <f>+IF(ESCENARIOS!AD6="X",HIPOTESIS!$E$31,"")</f>
        <v/>
      </c>
      <c r="C75" s="1" t="str">
        <f>+IF(ESCENARIOS!AD7="X",HIPOTESIS!$E$31,"")</f>
        <v/>
      </c>
      <c r="D75" s="1" t="str">
        <f>+IF(ESCENARIOS!AD8="X",HIPOTESIS!$E$31,"")</f>
        <v/>
      </c>
      <c r="E75" s="1" t="str">
        <f>+IF(ESCENARIOS!AD9="X",HIPOTESIS!$E$31,"")</f>
        <v/>
      </c>
      <c r="F75" s="1" t="str">
        <f>+IF(ESCENARIOS!AD10="X",HIPOTESIS!$E$31,"")</f>
        <v/>
      </c>
      <c r="G75" s="1" t="str">
        <f>+IF(ESCENARIOS!AD11="X",HIPOTESIS!$E$31,"")</f>
        <v/>
      </c>
      <c r="H75" s="1" t="str">
        <f>+IF(ESCENARIOS!AD12="X",HIPOTESIS!$E$31,"")</f>
        <v/>
      </c>
      <c r="I75" s="1" t="str">
        <f>+IF(ESCENARIOS!AD13="X",HIPOTESIS!$E$31,"")</f>
        <v/>
      </c>
      <c r="J75" s="1" t="str">
        <f>+IF(ESCENARIOS!AD14="X",HIPOTESIS!$E$31,"")</f>
        <v/>
      </c>
      <c r="K75" s="1" t="str">
        <f>+IF(ESCENARIOS!AD15="X",HIPOTESIS!$E$31,"")</f>
        <v/>
      </c>
      <c r="L75" s="1" t="str">
        <f>+IF(ESCENARIOS!AD16="X",HIPOTESIS!$E$31,"")</f>
        <v/>
      </c>
      <c r="M75" s="1" t="str">
        <f>+IF(ESCENARIOS!AD17="X",HIPOTESIS!$E$31,"")</f>
        <v/>
      </c>
      <c r="N75" s="1" t="str">
        <f>+IF(ESCENARIOS!AD18="X",HIPOTESIS!$E$31,"")</f>
        <v/>
      </c>
      <c r="O75" s="1" t="str">
        <f>+IF(ESCENARIOS!AD19="X",HIPOTESIS!$E$31,"")</f>
        <v/>
      </c>
      <c r="P75" s="1" t="str">
        <f>+IF(ESCENARIOS!AD20="X",HIPOTESIS!$E$31,"")</f>
        <v/>
      </c>
      <c r="Q75">
        <v>29</v>
      </c>
    </row>
    <row r="76" spans="1:17" x14ac:dyDescent="0.25">
      <c r="A76" s="63" t="s">
        <v>332</v>
      </c>
      <c r="B76" s="1" t="str">
        <f>+IF(ESCENARIOS!AE6="X",HIPOTESIS!$E$32,"")</f>
        <v/>
      </c>
      <c r="C76" s="1" t="str">
        <f>+IF(ESCENARIOS!AE7="X",HIPOTESIS!$E$32,"")</f>
        <v/>
      </c>
      <c r="D76" s="1" t="str">
        <f>+IF(ESCENARIOS!AE8="X",HIPOTESIS!$E$32,"")</f>
        <v/>
      </c>
      <c r="E76" s="1" t="str">
        <f>+IF(ESCENARIOS!AE9="X",HIPOTESIS!$E$32,"")</f>
        <v/>
      </c>
      <c r="F76" s="1" t="str">
        <f>+IF(ESCENARIOS!AE10="X",HIPOTESIS!$E$32,"")</f>
        <v/>
      </c>
      <c r="G76" s="1" t="str">
        <f>+IF(ESCENARIOS!AE11="X",HIPOTESIS!$E$32,"")</f>
        <v/>
      </c>
      <c r="H76" s="1" t="str">
        <f>+IF(ESCENARIOS!AE12="X",HIPOTESIS!$E$32,"")</f>
        <v/>
      </c>
      <c r="I76" s="1" t="str">
        <f>+IF(ESCENARIOS!AE13="X",HIPOTESIS!$E$32,"")</f>
        <v/>
      </c>
      <c r="J76" s="1" t="str">
        <f>+IF(ESCENARIOS!AE14="X",HIPOTESIS!$E$32,"")</f>
        <v/>
      </c>
      <c r="K76" s="1" t="str">
        <f>+IF(ESCENARIOS!AE15="X",HIPOTESIS!$E$32,"")</f>
        <v/>
      </c>
      <c r="L76" s="1" t="str">
        <f>+IF(ESCENARIOS!AE16="X",HIPOTESIS!$E$32,"")</f>
        <v/>
      </c>
      <c r="M76" s="1" t="str">
        <f>+IF(ESCENARIOS!AE17="X",HIPOTESIS!$E$32,"")</f>
        <v/>
      </c>
      <c r="N76" s="1" t="str">
        <f>+IF(ESCENARIOS!AE18="X",HIPOTESIS!$E$32,"")</f>
        <v/>
      </c>
      <c r="O76" s="1" t="str">
        <f>+IF(ESCENARIOS!AE19="X",HIPOTESIS!$E$32,"")</f>
        <v/>
      </c>
      <c r="P76" s="1" t="str">
        <f>+IF(ESCENARIOS!AE20="X",HIPOTESIS!$E$32,"")</f>
        <v/>
      </c>
      <c r="Q76">
        <v>30</v>
      </c>
    </row>
    <row r="77" spans="1:17" x14ac:dyDescent="0.25">
      <c r="A77" s="63" t="s">
        <v>333</v>
      </c>
      <c r="B77" s="1" t="str">
        <f>+IF(ESCENARIOS!AF6="X",HIPOTESIS!$E$33,"")</f>
        <v/>
      </c>
      <c r="C77" s="1" t="str">
        <f>+IF(ESCENARIOS!AF7="X",HIPOTESIS!$E$33,"")</f>
        <v/>
      </c>
      <c r="D77" s="1" t="str">
        <f>+IF(ESCENARIOS!AF8="X",HIPOTESIS!$E$33,"")</f>
        <v/>
      </c>
      <c r="E77" s="1" t="str">
        <f>+IF(ESCENARIOS!AF9="X",HIPOTESIS!$E$33,"")</f>
        <v/>
      </c>
      <c r="F77" s="1" t="str">
        <f>+IF(ESCENARIOS!AF10="X",HIPOTESIS!$E$33,"")</f>
        <v/>
      </c>
      <c r="G77" s="1" t="str">
        <f>+IF(ESCENARIOS!AF11="X",HIPOTESIS!$E$33,"")</f>
        <v/>
      </c>
      <c r="H77" s="1" t="str">
        <f>+IF(ESCENARIOS!AF12="X",HIPOTESIS!$E$33,"")</f>
        <v/>
      </c>
      <c r="I77" s="1" t="str">
        <f>+IF(ESCENARIOS!AF13="X",HIPOTESIS!$E$33,"")</f>
        <v/>
      </c>
      <c r="J77" s="1" t="str">
        <f>+IF(ESCENARIOS!AF14="X",HIPOTESIS!$E$33,"")</f>
        <v/>
      </c>
      <c r="K77" s="1" t="str">
        <f>+IF(ESCENARIOS!AF15="X",HIPOTESIS!$E$33,"")</f>
        <v/>
      </c>
      <c r="L77" s="1" t="str">
        <f>+IF(ESCENARIOS!AF16="X",HIPOTESIS!$E$33,"")</f>
        <v/>
      </c>
      <c r="M77" s="1" t="str">
        <f>+IF(ESCENARIOS!AF17="X",HIPOTESIS!$E$33,"")</f>
        <v/>
      </c>
      <c r="N77" s="1" t="str">
        <f>+IF(ESCENARIOS!AF18="X",HIPOTESIS!$E$33,"")</f>
        <v/>
      </c>
      <c r="O77" s="1" t="str">
        <f>+IF(ESCENARIOS!AF19="X",HIPOTESIS!$E$33,"")</f>
        <v/>
      </c>
      <c r="P77" s="1" t="str">
        <f>+IF(ESCENARIOS!AF20="X",HIPOTESIS!$E$33,"")</f>
        <v/>
      </c>
      <c r="Q77">
        <v>31</v>
      </c>
    </row>
    <row r="81" spans="2:2" x14ac:dyDescent="0.25">
      <c r="B81">
        <v>1</v>
      </c>
    </row>
    <row r="82" spans="2:2" x14ac:dyDescent="0.25">
      <c r="B82">
        <v>2</v>
      </c>
    </row>
    <row r="83" spans="2:2" x14ac:dyDescent="0.25">
      <c r="B83">
        <v>3</v>
      </c>
    </row>
    <row r="84" spans="2:2" x14ac:dyDescent="0.25">
      <c r="B84">
        <v>4</v>
      </c>
    </row>
    <row r="85" spans="2:2" x14ac:dyDescent="0.25">
      <c r="B85">
        <v>5</v>
      </c>
    </row>
    <row r="86" spans="2:2" x14ac:dyDescent="0.25">
      <c r="B86">
        <v>6</v>
      </c>
    </row>
    <row r="87" spans="2:2" x14ac:dyDescent="0.25">
      <c r="B87">
        <v>7</v>
      </c>
    </row>
    <row r="88" spans="2:2" x14ac:dyDescent="0.25">
      <c r="B88">
        <v>8</v>
      </c>
    </row>
    <row r="89" spans="2:2" x14ac:dyDescent="0.25">
      <c r="B89">
        <v>9</v>
      </c>
    </row>
    <row r="90" spans="2:2" x14ac:dyDescent="0.25">
      <c r="B90">
        <v>10</v>
      </c>
    </row>
    <row r="91" spans="2:2" x14ac:dyDescent="0.25">
      <c r="B91">
        <v>11</v>
      </c>
    </row>
    <row r="92" spans="2:2" x14ac:dyDescent="0.25">
      <c r="B92">
        <v>12</v>
      </c>
    </row>
    <row r="93" spans="2:2" x14ac:dyDescent="0.25">
      <c r="B93">
        <v>13</v>
      </c>
    </row>
    <row r="94" spans="2:2" x14ac:dyDescent="0.25">
      <c r="B94">
        <v>14</v>
      </c>
    </row>
    <row r="95" spans="2:2" x14ac:dyDescent="0.25">
      <c r="B95">
        <v>15</v>
      </c>
    </row>
    <row r="99" spans="2:4" x14ac:dyDescent="0.25">
      <c r="B99" s="71" t="str">
        <f>+M!B4</f>
        <v>Ingresos concentrados en proyectos a la medida</v>
      </c>
      <c r="C99" s="71">
        <f>+MAX(M!D4:D6)</f>
        <v>0</v>
      </c>
      <c r="D99" s="71" t="str">
        <f>IFERROR(VLOOKUP(C99,M!D4:E6,2,FALSE),"")</f>
        <v/>
      </c>
    </row>
    <row r="100" spans="2:4" x14ac:dyDescent="0.25">
      <c r="B100" s="71" t="str">
        <f>+M!B7</f>
        <v>IA generativa y agentes en el desarrollo de software</v>
      </c>
      <c r="C100" s="71">
        <f>+MAX(M!D7:D9)</f>
        <v>0</v>
      </c>
      <c r="D100" s="71" t="str">
        <f>IFERROR(VLOOKUP(C100,M!D7:E9,2,FALSE),"")</f>
        <v/>
      </c>
    </row>
    <row r="101" spans="2:4" x14ac:dyDescent="0.25">
      <c r="B101" s="71" t="str">
        <f>+M!B10</f>
        <v>Nearshoring de servicios de software</v>
      </c>
      <c r="C101" s="71">
        <f>+MAX(M!D10:D12)</f>
        <v>0</v>
      </c>
      <c r="D101" s="71" t="str">
        <f>IFERROR(VLOOKUP(C101,M!D10:E12,2,FALSE),"")</f>
        <v/>
      </c>
    </row>
    <row r="102" spans="2:4" x14ac:dyDescent="0.25">
      <c r="B102" s="71" t="str">
        <f>+M!B13</f>
        <v>Brecha de talento TI</v>
      </c>
      <c r="C102" s="71">
        <f>+MAX(M!D13:D15)</f>
        <v>0</v>
      </c>
      <c r="D102" s="71" t="str">
        <f>IFERROR(VLOOKUP(C102,M!D13:E15,2,FALSE),"")</f>
        <v/>
      </c>
    </row>
    <row r="103" spans="2:4" x14ac:dyDescent="0.25">
      <c r="B103" s="71" t="str">
        <f>+M!B16</f>
        <v>Ciberseguridad y desarrollo seguro</v>
      </c>
      <c r="C103" s="71">
        <f>+MAX(M!D16:D18)</f>
        <v>0</v>
      </c>
      <c r="D103" s="71" t="str">
        <f>IFERROR(VLOOKUP(C103,M!D16:E18,2,FALSE),"")</f>
        <v/>
      </c>
    </row>
    <row r="104" spans="2:4" x14ac:dyDescent="0.25">
      <c r="B104" s="71" t="str">
        <f>+M!B19</f>
        <v>Cartera de clientes corporativos</v>
      </c>
      <c r="C104" s="71">
        <f>+MAX(M!D19:D21)</f>
        <v>0</v>
      </c>
      <c r="D104" s="71" t="str">
        <f>IFERROR(VLOOKUP(C104,M!D19:E21,2,FALSE),"")</f>
        <v/>
      </c>
    </row>
    <row r="105" spans="2:4" x14ac:dyDescent="0.25">
      <c r="B105" s="71" t="str">
        <f>+M!B22</f>
        <v>Presencia comercial internacional limitada</v>
      </c>
      <c r="C105" s="71">
        <f>+MAX(M!D22:D24)</f>
        <v>0</v>
      </c>
      <c r="D105" s="71" t="str">
        <f>IFERROR(VLOOKUP(C105,M!D22:E24,2,FALSE),"")</f>
        <v/>
      </c>
    </row>
    <row r="106" spans="2:4" x14ac:dyDescent="0.25">
      <c r="B106" s="71" t="str">
        <f>+M!B25</f>
        <v>Trabajo remoto y competencia global por talento</v>
      </c>
      <c r="C106" s="71">
        <f>+MAX(M!D25:D27)</f>
        <v>0</v>
      </c>
      <c r="D106" s="71" t="str">
        <f>IFERROR(VLOOKUP(C106,M!D25:E27,2,FALSE),"")</f>
        <v/>
      </c>
    </row>
    <row r="107" spans="2:4" x14ac:dyDescent="0.25">
      <c r="B107" s="71" t="str">
        <f>+M!B28</f>
        <v>Digitalización de pymes y consumidores</v>
      </c>
      <c r="C107" s="71">
        <f>+MAX(M!D28:D30)</f>
        <v>0</v>
      </c>
      <c r="D107" s="71" t="str">
        <f>IFERROR(VLOOKUP(C107,M!D28:E30,2,FALSE),"")</f>
        <v/>
      </c>
    </row>
    <row r="108" spans="2:4" x14ac:dyDescent="0.25">
      <c r="B108" s="71" t="str">
        <f>+M!B31</f>
        <v>Escala reducida frente a grandes competidores</v>
      </c>
      <c r="C108" s="71">
        <f>+MAX(M!D31:D33)</f>
        <v>0</v>
      </c>
      <c r="D108" s="71" t="str">
        <f>IFERROR(VLOOKUP(C108,M!D31:E33,2,FALSE),"")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D01944A45725741AC4578763DB25132" ma:contentTypeVersion="12" ma:contentTypeDescription="Crear nuevo documento." ma:contentTypeScope="" ma:versionID="dd756600d466a9260eab7ba4ce9b8fdc">
  <xsd:schema xmlns:xsd="http://www.w3.org/2001/XMLSchema" xmlns:xs="http://www.w3.org/2001/XMLSchema" xmlns:p="http://schemas.microsoft.com/office/2006/metadata/properties" xmlns:ns2="7cb55ee2-d53d-460b-a609-0159b5ea3bae" xmlns:ns3="5b9a2807-3205-4127-89b3-cb3f49b19aaa" targetNamespace="http://schemas.microsoft.com/office/2006/metadata/properties" ma:root="true" ma:fieldsID="1695cf3364de7c5821fd191b827ff19d" ns2:_="" ns3:_="">
    <xsd:import namespace="7cb55ee2-d53d-460b-a609-0159b5ea3bae"/>
    <xsd:import namespace="5b9a2807-3205-4127-89b3-cb3f49b19aa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b55ee2-d53d-460b-a609-0159b5ea3b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9a2807-3205-4127-89b3-cb3f49b19aa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3AC607F-B4F2-4B2B-94E1-E6DA0868D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b55ee2-d53d-460b-a609-0159b5ea3bae"/>
    <ds:schemaRef ds:uri="5b9a2807-3205-4127-89b3-cb3f49b19a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F8444E-C0F0-4A94-A7F2-5E79A7445E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0B96F8-A9DC-4F43-86A6-141218314C01}">
  <ds:schemaRefs>
    <ds:schemaRef ds:uri="http://www.w3.org/XML/1998/namespace"/>
    <ds:schemaRef ds:uri="7cb55ee2-d53d-460b-a609-0159b5ea3bae"/>
    <ds:schemaRef ds:uri="http://schemas.microsoft.com/office/2006/metadata/properties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b9a2807-3205-4127-89b3-cb3f49b19aa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PORTADA</vt:lpstr>
      <vt:lpstr>TENDENCIAS</vt:lpstr>
      <vt:lpstr>RANKING</vt:lpstr>
      <vt:lpstr>IMPACTOS CRUZADOS</vt:lpstr>
      <vt:lpstr>MIC-MAC</vt:lpstr>
      <vt:lpstr>HIPOTESIS</vt:lpstr>
      <vt:lpstr>4. </vt:lpstr>
      <vt:lpstr>EB</vt:lpstr>
      <vt:lpstr>ESCENARIOS</vt:lpstr>
      <vt:lpstr>M</vt:lpstr>
      <vt:lpstr>META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2026-10-10T13:34:32Z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0x0101008D01944A45725741AC4578763DB25132</vt:lpwstr>
  </property>
</Properties>
</file>