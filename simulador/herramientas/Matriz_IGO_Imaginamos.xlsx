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Matriz_30" sheetId="2" state="visible" r:id="rId4"/>
    <sheet name="Resumen" sheetId="3" state="visible" r:id="rId5"/>
    <sheet name="Ranking_Top10" sheetId="4" state="visible" r:id="rId6"/>
    <sheet name="Grafico_IGO" sheetId="5" state="visible" r:id="rId7"/>
  </sheets>
  <definedNames>
    <definedName function="false" hidden="true" localSheetId="1" name="_xlnm._FilterDatabase" vbProcedure="false">Matriz_30!$A$1:$P$31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<sst xmlns="http://schemas.openxmlformats.org/spreadsheetml/2006/main" count="326" uniqueCount="164">
  <si>
    <t xml:space="preserve">Matriz IGO – Análisis prospectivo de Imaginamos S.A.S. (horizonte 2036)</t>
  </si>
  <si>
    <t xml:space="preserve">Cómo usar este libro</t>
  </si>
  <si>
    <t xml:space="preserve">1. En la hoja Matriz_30, edite solo las celdas en azul con fondo amarillo: P, M, F y G (escala 1 a 5).</t>
  </si>
  <si>
    <t xml:space="preserve">2. La importancia se calcula como el promedio de P, M y F, redondeado a un decimal.</t>
  </si>
  <si>
    <t xml:space="preserve">3. El cuadrante IGO se asigna automáticamente: Reto inmediato (Imp ≥ umbral y G ≥ umbral), Reto mediato (Imp ≥ umbral y G &lt; umbral), Menos urgente, Innecesario.</t>
  </si>
  <si>
    <t xml:space="preserve">4. Los umbrales se pueden ajustar en esta hoja (celdas B12 y B13).</t>
  </si>
  <si>
    <t xml:space="preserve">5. Las hojas Resumen y Ranking_Top10 y el gráfico se actualizan solos.</t>
  </si>
  <si>
    <t xml:space="preserve">Criterios: P = probabilidad de ocurrencia; M = magnitud del impacto estratégico; F = impacto financiero; G = gobernabilidad (control de la empresa).</t>
  </si>
  <si>
    <t xml:space="preserve">Umbral de importancia alta</t>
  </si>
  <si>
    <t xml:space="preserve">Supuesto del autor (Godet, 2007: punto medio de la escala)</t>
  </si>
  <si>
    <t xml:space="preserve">Umbral de gobernabilidad alta</t>
  </si>
  <si>
    <t xml:space="preserve">Cód.</t>
  </si>
  <si>
    <t xml:space="preserve">Variable</t>
  </si>
  <si>
    <t xml:space="preserve">Descripción y evidencia</t>
  </si>
  <si>
    <t xml:space="preserve">Tipo</t>
  </si>
  <si>
    <t xml:space="preserve">Dimensión</t>
  </si>
  <si>
    <t xml:space="preserve">Dirección</t>
  </si>
  <si>
    <t xml:space="preserve">Horizonte</t>
  </si>
  <si>
    <t xml:space="preserve">Fuente</t>
  </si>
  <si>
    <t xml:space="preserve">P</t>
  </si>
  <si>
    <t xml:space="preserve">M</t>
  </si>
  <si>
    <t xml:space="preserve">F</t>
  </si>
  <si>
    <t xml:space="preserve">Importancia</t>
  </si>
  <si>
    <t xml:space="preserve">G</t>
  </si>
  <si>
    <t xml:space="preserve">Impacto financiero</t>
  </si>
  <si>
    <t xml:space="preserve">Cuadrante IGO</t>
  </si>
  <si>
    <t xml:space="preserve">Clave orden</t>
  </si>
  <si>
    <t xml:space="preserve">V01</t>
  </si>
  <si>
    <t xml:space="preserve">Política nacional de inteligencia artificial</t>
  </si>
  <si>
    <t xml:space="preserve">El CONPES 4144 (feb. 2025) fija una hoja de ruta de IA a 2030 con presupuesto público estimado en COP 479.000 millones; impulsa la demanda de proyectos de adopción de IA en empresas y entidades.</t>
  </si>
  <si>
    <t xml:space="preserve">Externa</t>
  </si>
  <si>
    <t xml:space="preserve">Político</t>
  </si>
  <si>
    <t xml:space="preserve">Creciente</t>
  </si>
  <si>
    <t xml:space="preserve">Mediano</t>
  </si>
  <si>
    <t xml:space="preserve">DNP (2025)</t>
  </si>
  <si>
    <t xml:space="preserve">Ingresos</t>
  </si>
  <si>
    <t xml:space="preserve">V02</t>
  </si>
  <si>
    <t xml:space="preserve">Transición de gobierno 2026</t>
  </si>
  <si>
    <t xml:space="preserve">El cambio de gobierno de agosto de 2026 puede modificar prioridades, incentivos y continuidad de los programas públicos de transformación digital.</t>
  </si>
  <si>
    <t xml:space="preserve">Incierta</t>
  </si>
  <si>
    <t xml:space="preserve">Corto</t>
  </si>
  <si>
    <t xml:space="preserve">Autor</t>
  </si>
  <si>
    <t xml:space="preserve">Riesgo</t>
  </si>
  <si>
    <t xml:space="preserve">V03</t>
  </si>
  <si>
    <t xml:space="preserve">Transformación digital del Estado</t>
  </si>
  <si>
    <t xml:space="preserve">La digitalización de trámites y servicios públicos amplía un mercado ya atendido por la empresa (p. ej., ETB), con procesos de contratación exigentes y ciclos de pago largos.</t>
  </si>
  <si>
    <t xml:space="preserve">DNP (2025); Imaginamos (s. f.-a)</t>
  </si>
  <si>
    <t xml:space="preserve">V04</t>
  </si>
  <si>
    <t xml:space="preserve">Volatilidad de la tasa de cambio COP/USD</t>
  </si>
  <si>
    <t xml:space="preserve">Un peso débil mejora la competitividad de la exportación de servicios; uno fuerte la reduce y encarece licencias y nube facturadas en dólares.</t>
  </si>
  <si>
    <t xml:space="preserve">Económico</t>
  </si>
  <si>
    <t xml:space="preserve">Ingresos y costos</t>
  </si>
  <si>
    <t xml:space="preserve">V05</t>
  </si>
  <si>
    <t xml:space="preserve">Desaceleración del sector y presupuestos TI</t>
  </si>
  <si>
    <t xml:space="preserve">El sector creció 0,8 % en 2024 y se recuperó gradualmente en 2025; los clientes recortan o aplazan proyectos a la medida.</t>
  </si>
  <si>
    <t xml:space="preserve">Cíclica</t>
  </si>
  <si>
    <t xml:space="preserve">Fedesoft (2025)</t>
  </si>
  <si>
    <t xml:space="preserve">V06</t>
  </si>
  <si>
    <t xml:space="preserve">Nearshoring de servicios de software</t>
  </si>
  <si>
    <t xml:space="preserve">Empresas de EE. UU. trasladan desarrollo a países con huso horario cercano; las exportaciones de servicios informáticos superaron USD 1.758 millones en 2024.</t>
  </si>
  <si>
    <t xml:space="preserve">V07</t>
  </si>
  <si>
    <t xml:space="preserve">Costo del financiamiento para pymes</t>
  </si>
  <si>
    <t xml:space="preserve">Las tasas de interés y el acceso limitado a crédito condicionan la inversión en productos propios, I+D y expansión comercial.</t>
  </si>
  <si>
    <t xml:space="preserve">Estable</t>
  </si>
  <si>
    <t xml:space="preserve">Inversión</t>
  </si>
  <si>
    <t xml:space="preserve">V08</t>
  </si>
  <si>
    <t xml:space="preserve">Brecha de talento TI</t>
  </si>
  <si>
    <t xml:space="preserve">Déficit estimado de 83.000 profesionales que podría llegar a 89.000 en 2030; presiona salarios y disponibilidad de perfiles especializados.</t>
  </si>
  <si>
    <t xml:space="preserve">Social</t>
  </si>
  <si>
    <t xml:space="preserve">Largo</t>
  </si>
  <si>
    <t xml:space="preserve">Forbes Colombia (2026)</t>
  </si>
  <si>
    <t xml:space="preserve">Costos</t>
  </si>
  <si>
    <t xml:space="preserve">V09</t>
  </si>
  <si>
    <t xml:space="preserve">Trabajo remoto y competencia global por talento</t>
  </si>
  <si>
    <t xml:space="preserve">Los profesionales colombianos pueden trabajar para empresas extranjeras con salarios en dólares, lo que eleva la rotación y el costo de retención.</t>
  </si>
  <si>
    <t xml:space="preserve">V10</t>
  </si>
  <si>
    <t xml:space="preserve">Digitalización de pymes y consumidores</t>
  </si>
  <si>
    <t xml:space="preserve">Más empresas y usuarios exigen canales digitales, comercio electrónico y apps, lo que amplía el mercado potencial de servicios digitales.</t>
  </si>
  <si>
    <t xml:space="preserve">La República (2025)</t>
  </si>
  <si>
    <t xml:space="preserve">V11</t>
  </si>
  <si>
    <t xml:space="preserve">Mayores expectativas de experiencia de usuario</t>
  </si>
  <si>
    <t xml:space="preserve">Las nuevas generaciones esperan productos digitales intuitivos, personalizados e inmediatos; el diseño UX/UI se vuelve un diferenciador.</t>
  </si>
  <si>
    <t xml:space="preserve">V12</t>
  </si>
  <si>
    <t xml:space="preserve">IA generativa y agentes en el desarrollo de software</t>
  </si>
  <si>
    <t xml:space="preserve">Asistentes de código y agentes de IA reducen tiempos y costos de desarrollo; cambian el modelo de cobro por horas y la composición de los equipos. El 68 % de las empresas de software prioriza la IA.</t>
  </si>
  <si>
    <t xml:space="preserve">Tecnológico</t>
  </si>
  <si>
    <t xml:space="preserve">Disruptiva</t>
  </si>
  <si>
    <t xml:space="preserve">V13</t>
  </si>
  <si>
    <t xml:space="preserve">Plataformas low-code / no-code</t>
  </si>
  <si>
    <t xml:space="preserve">Permiten a los clientes construir soluciones sin programar y sustituyen desarrollos sencillos a la medida.</t>
  </si>
  <si>
    <t xml:space="preserve">V14</t>
  </si>
  <si>
    <t xml:space="preserve">Arquitecturas nativas en la nube</t>
  </si>
  <si>
    <t xml:space="preserve">La migración de clientes a la nube y a microservicios exige nuevas competencias técnicas y certificaciones.</t>
  </si>
  <si>
    <t xml:space="preserve">V15</t>
  </si>
  <si>
    <t xml:space="preserve">Ciberseguridad y desarrollo seguro</t>
  </si>
  <si>
    <t xml:space="preserve">Los clientes exigen DevSecOps, auditorías y cumplimiento; un incidente puede afectar gravemente la reputación del proveedor.</t>
  </si>
  <si>
    <t xml:space="preserve">V16</t>
  </si>
  <si>
    <t xml:space="preserve">Sostenibilidad digital y criterios ESG</t>
  </si>
  <si>
    <t xml:space="preserve">Grandes clientes incorporan criterios ambientales en la selección de proveedores (eficiencia del software, huella de carbono de la nube).</t>
  </si>
  <si>
    <t xml:space="preserve">Ecológico</t>
  </si>
  <si>
    <t xml:space="preserve">Emergente</t>
  </si>
  <si>
    <t xml:space="preserve">V17</t>
  </si>
  <si>
    <t xml:space="preserve">Eficiencia energética y residuos electrónicos</t>
  </si>
  <si>
    <t xml:space="preserve">Consumo energético de oficinas e infraestructura, renovación de equipos y disposición de residuos tecnológicos.</t>
  </si>
  <si>
    <t xml:space="preserve">V18</t>
  </si>
  <si>
    <t xml:space="preserve">Protección de datos y regulación de la IA</t>
  </si>
  <si>
    <t xml:space="preserve">La Ley 1581 de 2012 y los proyectos de ley de IA en trámite aumentan las obligaciones al construir soluciones con datos personales o IA.</t>
  </si>
  <si>
    <t xml:space="preserve">Legal</t>
  </si>
  <si>
    <t xml:space="preserve">V19</t>
  </si>
  <si>
    <t xml:space="preserve">Reforma laboral (Ley 2466 de 2025)</t>
  </si>
  <si>
    <t xml:space="preserve">Cambios en recargos, jornada y formas de contratación incrementan el costo laboral y obligan a revisar el modelo de vinculación.</t>
  </si>
  <si>
    <t xml:space="preserve">V20</t>
  </si>
  <si>
    <t xml:space="preserve">Propiedad intelectual del código generado con IA</t>
  </si>
  <si>
    <t xml:space="preserve">Incertidumbre jurídica sobre la titularidad y las licencias del código producido con IA en los contratos con clientes.</t>
  </si>
  <si>
    <t xml:space="preserve">V21</t>
  </si>
  <si>
    <t xml:space="preserve">Trayectoria y reputación de marca</t>
  </si>
  <si>
    <t xml:space="preserve">Más de 18 años en el mercado, más de 5.000 proyectos y su papel en el origen de Rappi respaldan su credibilidad comercial.</t>
  </si>
  <si>
    <t xml:space="preserve">Interna</t>
  </si>
  <si>
    <t xml:space="preserve">Fortaleza</t>
  </si>
  <si>
    <t xml:space="preserve">ConnectAmericas (s. f.)</t>
  </si>
  <si>
    <t xml:space="preserve">V22</t>
  </si>
  <si>
    <t xml:space="preserve">Portafolio integral de servicios</t>
  </si>
  <si>
    <t xml:space="preserve">Combina estrategia, desarrollo de software y apps, UX/UI, marketing e integración de IA en una sola oferta.</t>
  </si>
  <si>
    <t xml:space="preserve">Imaginamos (s. f.-b)</t>
  </si>
  <si>
    <t xml:space="preserve">V23</t>
  </si>
  <si>
    <t xml:space="preserve">Capacidad de incubación de startups</t>
  </si>
  <si>
    <t xml:space="preserve">Experiencia acompañando la creación de más de siete empresas; habilita modelos de venture building.</t>
  </si>
  <si>
    <t xml:space="preserve">V24</t>
  </si>
  <si>
    <t xml:space="preserve">Cartera de clientes corporativos</t>
  </si>
  <si>
    <t xml:space="preserve">Referencias con marcas como AB InBev, Alpina, Davivienda y ETB, que facilitan nuevos negocios.</t>
  </si>
  <si>
    <t xml:space="preserve">Imaginamos (s. f.-a)</t>
  </si>
  <si>
    <t xml:space="preserve">V25</t>
  </si>
  <si>
    <t xml:space="preserve">Cultura de diseño y metodologías ágiles</t>
  </si>
  <si>
    <t xml:space="preserve">Empresa liderada por el diseño, con procesos ágiles y centrados en el usuario.</t>
  </si>
  <si>
    <t xml:space="preserve">V26</t>
  </si>
  <si>
    <t xml:space="preserve">Escala reducida frente a grandes competidores</t>
  </si>
  <si>
    <t xml:space="preserve">Con cerca de un centenar de colaboradores compite con firmas de miles de empleados en proyectos grandes.</t>
  </si>
  <si>
    <t xml:space="preserve">Debilidad</t>
  </si>
  <si>
    <t xml:space="preserve">LinkedIn (s. f.)</t>
  </si>
  <si>
    <t xml:space="preserve">V27</t>
  </si>
  <si>
    <t xml:space="preserve">Dependencia del talento clave</t>
  </si>
  <si>
    <t xml:space="preserve">Como toda firma de servicios, su capacidad productiva depende de retener ingenieros y diseñadores en un mercado muy competido.</t>
  </si>
  <si>
    <t xml:space="preserve">V28</t>
  </si>
  <si>
    <t xml:space="preserve">Cambios frecuentes en la alta dirección</t>
  </si>
  <si>
    <t xml:space="preserve">Ha tenido varios directores ejecutivos, lo que puede afectar la continuidad de la estrategia de largo plazo.</t>
  </si>
  <si>
    <t xml:space="preserve">StartupIntros (s. f.)</t>
  </si>
  <si>
    <t xml:space="preserve">V29</t>
  </si>
  <si>
    <t xml:space="preserve">Ingresos concentrados en proyectos a la medida</t>
  </si>
  <si>
    <t xml:space="preserve">Predominio de ingresos por proyecto, no recurrentes, frente a productos propios o suscripciones; vulnerable a la IA y a ciclos económicos.</t>
  </si>
  <si>
    <t xml:space="preserve">V30</t>
  </si>
  <si>
    <t xml:space="preserve">Presencia comercial internacional limitada</t>
  </si>
  <si>
    <t xml:space="preserve">Operación concentrada en Colombia y Latinoamérica, con menor fuerza comercial que los competidores multinacionales en EE. UU.</t>
  </si>
  <si>
    <t xml:space="preserve">N.º variables</t>
  </si>
  <si>
    <t xml:space="preserve">Importancia promedio</t>
  </si>
  <si>
    <t xml:space="preserve">Gobernabilidad promedio</t>
  </si>
  <si>
    <t xml:space="preserve">Total</t>
  </si>
  <si>
    <t xml:space="preserve">% del total</t>
  </si>
  <si>
    <t xml:space="preserve">Reto inmediato</t>
  </si>
  <si>
    <t xml:space="preserve">Reto mediato</t>
  </si>
  <si>
    <t xml:space="preserve">Menos urgente</t>
  </si>
  <si>
    <t xml:space="preserve">Innecesario</t>
  </si>
  <si>
    <t xml:space="preserve">Ranking preliminar por importancia (desempate por gobernabilidad). El ranking definitivo de las 10 variables clave se construye en la entrega 2.</t>
  </si>
  <si>
    <t xml:space="preserve">Puesto</t>
  </si>
  <si>
    <t xml:space="preserve">Umbrales: importancia 3,5 y gobernabilidad 3. Ver figura 2 del documento para la versión etiquetada.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</si>
</sst>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0.00000"/>
    <numFmt numFmtId="167" formatCode="0.00"/>
    <numFmt numFmtId="168" formatCode="General"/>
    <numFmt numFmtId="169" formatCode="0.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1F3A5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1F3A5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9C4"/>
        <bgColor rgb="FFFFFF99"/>
      </patternFill>
    </fill>
    <fill>
      <patternFill patternType="solid">
        <fgColor rgb="FF1F3A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AA5B1"/>
      </left>
      <right style="thin">
        <color rgb="FF9AA5B1"/>
      </right>
      <top style="thin">
        <color rgb="FF9AA5B1"/>
      </top>
      <bottom style="thin">
        <color rgb="FF9AA5B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9C4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D7EFD9"/>
          <bgColor rgb="FF000000"/>
        </patternFill>
      </fill>
    </dxf>
    <dxf>
      <fill>
        <patternFill patternType="solid">
          <fgColor rgb="FFE5E7EB"/>
          <bgColor rgb="FF000000"/>
        </patternFill>
      </fill>
    </dxf>
    <dxf>
      <fill>
        <patternFill patternType="solid">
          <fgColor rgb="FFF3F4F6"/>
          <bgColor rgb="FF000000"/>
        </patternFill>
      </fill>
    </dxf>
    <dxf>
      <fill>
        <patternFill patternType="solid">
          <fgColor rgb="FFFBDADA"/>
          <bgColor rgb="FF000000"/>
        </patternFill>
      </fill>
    </dxf>
    <dxf>
      <fill>
        <patternFill>
          <bgColor rgb="FFD7EFD9"/>
        </patternFill>
      </fill>
    </dxf>
    <dxf>
      <fill>
        <patternFill>
          <bgColor rgb="FFFBDADA"/>
        </patternFill>
      </fill>
    </dxf>
    <dxf>
      <fill>
        <patternFill>
          <bgColor rgb="FFE5E7EB"/>
        </patternFill>
      </fill>
    </dxf>
    <dxf>
      <fill>
        <patternFill>
          <bgColor rgb="FFF3F4F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9C4"/>
      <rgbColor rgb="FFF3F4F6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5E7EB"/>
      <rgbColor rgb="FFD7EFD9"/>
      <rgbColor rgb="FFFFFF99"/>
      <rgbColor rgb="FF99CCFF"/>
      <rgbColor rgb="FFFF99CC"/>
      <rgbColor rgb="FFCC99FF"/>
      <rgbColor rgb="FFFBDADA"/>
      <rgbColor rgb="FF3366FF"/>
      <rgbColor rgb="FF33CCCC"/>
      <rgbColor rgb="FF99CC00"/>
      <rgbColor rgb="FFFFCC00"/>
      <rgbColor rgb="FFFF9900"/>
      <rgbColor rgb="FFFF6600"/>
      <rgbColor rgb="FF666699"/>
      <rgbColor rgb="FF9AA5B1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Plano IGO: Importancia vs. Gobernabilidad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"Variables"</c:f>
              <c:strCache>
                <c:ptCount val="1"/>
                <c:pt idx="0">
                  <c:v>Variables</c:v>
                </c:pt>
              </c:strCache>
            </c:strRef>
          </c:tx>
          <c:spPr>
            <a:solidFill>
              <a:srgbClr val="ffffff"/>
            </a:solidFill>
            <a:ln w="47520">
              <a:noFill/>
            </a:ln>
          </c:spPr>
          <c:marker>
            <c:symbol val="circle"/>
            <c:size val="8"/>
            <c:spPr>
              <a:noFill/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Matriz_30!$M$2:$M$31</c:f>
              <c:numCache>
                <c:formatCode>General</c:formatCode>
                <c:ptCount val="30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3</c:v>
                </c:pt>
                <c:pt idx="11">
                  <c:v>3</c:v>
                </c:pt>
                <c:pt idx="12">
                  <c:v>2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4</c:v>
                </c:pt>
                <c:pt idx="17">
                  <c:v>2</c:v>
                </c:pt>
                <c:pt idx="18">
                  <c:v>1</c:v>
                </c:pt>
                <c:pt idx="19">
                  <c:v>2</c:v>
                </c:pt>
                <c:pt idx="20">
                  <c:v>4</c:v>
                </c:pt>
                <c:pt idx="21">
                  <c:v>5</c:v>
                </c:pt>
                <c:pt idx="22">
                  <c:v>4</c:v>
                </c:pt>
                <c:pt idx="23">
                  <c:v>3</c:v>
                </c:pt>
                <c:pt idx="24">
                  <c:v>5</c:v>
                </c:pt>
                <c:pt idx="25">
                  <c:v>2</c:v>
                </c:pt>
                <c:pt idx="26">
                  <c:v>3</c:v>
                </c:pt>
                <c:pt idx="27">
                  <c:v>4</c:v>
                </c:pt>
                <c:pt idx="28">
                  <c:v>4</c:v>
                </c:pt>
                <c:pt idx="29">
                  <c:v>3</c:v>
                </c:pt>
              </c:numCache>
            </c:numRef>
          </c:xVal>
          <c:yVal>
            <c:numRef>
              <c:f>Matriz_30!$L$2:$L$31</c:f>
              <c:numCache>
                <c:formatCode>0.0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3.3</c:v>
                </c:pt>
                <c:pt idx="3">
                  <c:v>4.3</c:v>
                </c:pt>
                <c:pt idx="4">
                  <c:v>4.3</c:v>
                </c:pt>
                <c:pt idx="5">
                  <c:v>4.7</c:v>
                </c:pt>
                <c:pt idx="6">
                  <c:v>3.3</c:v>
                </c:pt>
                <c:pt idx="7">
                  <c:v>4.7</c:v>
                </c:pt>
                <c:pt idx="8">
                  <c:v>4.3</c:v>
                </c:pt>
                <c:pt idx="9">
                  <c:v>4.3</c:v>
                </c:pt>
                <c:pt idx="10">
                  <c:v>3.3</c:v>
                </c:pt>
                <c:pt idx="11">
                  <c:v>5</c:v>
                </c:pt>
                <c:pt idx="12">
                  <c:v>4</c:v>
                </c:pt>
                <c:pt idx="13">
                  <c:v>3.3</c:v>
                </c:pt>
                <c:pt idx="14">
                  <c:v>4.3</c:v>
                </c:pt>
                <c:pt idx="15">
                  <c:v>2.3</c:v>
                </c:pt>
                <c:pt idx="16">
                  <c:v>1.7</c:v>
                </c:pt>
                <c:pt idx="17">
                  <c:v>3.7</c:v>
                </c:pt>
                <c:pt idx="18">
                  <c:v>4.3</c:v>
                </c:pt>
                <c:pt idx="19">
                  <c:v>3</c:v>
                </c:pt>
                <c:pt idx="20">
                  <c:v>4</c:v>
                </c:pt>
                <c:pt idx="21">
                  <c:v>4</c:v>
                </c:pt>
                <c:pt idx="22">
                  <c:v>3</c:v>
                </c:pt>
                <c:pt idx="23">
                  <c:v>4.3</c:v>
                </c:pt>
                <c:pt idx="24">
                  <c:v>3.3</c:v>
                </c:pt>
                <c:pt idx="25">
                  <c:v>4.3</c:v>
                </c:pt>
                <c:pt idx="26">
                  <c:v>4</c:v>
                </c:pt>
                <c:pt idx="27">
                  <c:v>2.7</c:v>
                </c:pt>
                <c:pt idx="28">
                  <c:v>5</c:v>
                </c:pt>
                <c:pt idx="29">
                  <c:v>4.3</c:v>
                </c:pt>
              </c:numCache>
            </c:numRef>
          </c:yVal>
          <c:smooth val="1"/>
        </c:ser>
        <c:axId val="49636385"/>
        <c:axId val="84947731"/>
      </c:scatterChart>
      <c:valAx>
        <c:axId val="49636385"/>
        <c:scaling>
          <c:orientation val="minMax"/>
          <c:max val="5.5"/>
          <c:min val="0.5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Gobernabilidad (1-5)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947731"/>
        <c:crosses val="autoZero"/>
        <c:crossBetween val="midCat"/>
      </c:valAx>
      <c:valAx>
        <c:axId val="84947731"/>
        <c:scaling>
          <c:orientation val="minMax"/>
          <c:max val="5.5"/>
          <c:min val="0.5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Importancia (1-5)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636385"/>
        <c:crosses val="autoZero"/>
        <c:crossBetween val="midCat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0</xdr:rowOff>
    </xdr:from>
    <xdr:to>
      <xdr:col>10</xdr:col>
      <xdr:colOff>4680</xdr:colOff>
      <xdr:row>22</xdr:row>
      <xdr:rowOff>149400</xdr:rowOff>
    </xdr:to>
    <xdr:graphicFrame>
      <xdr:nvGraphicFramePr>
        <xdr:cNvPr id="0" name="Chart 1"/>
        <xdr:cNvGraphicFramePr/>
      </xdr:nvGraphicFramePr>
      <xdr:xfrm>
        <a:off x="0" y="380880"/>
        <a:ext cx="611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/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/>
    </row>
    <row r="12" customFormat="false" ht="15" hidden="false" customHeight="false" outlineLevel="0" collapsed="false">
      <c r="A12" s="4" t="s">
        <v>8</v>
      </c>
      <c r="B12" s="5" t="n">
        <v>3.5</v>
      </c>
      <c r="C12" s="6" t="s">
        <v>9</v>
      </c>
    </row>
    <row r="13" customFormat="false" ht="15" hidden="false" customHeight="false" outlineLevel="0" collapsed="false">
      <c r="A13" s="4" t="s">
        <v>10</v>
      </c>
      <c r="B13" s="5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0"/>
    <col collapsed="false" customWidth="true" hidden="false" outlineLevel="0" max="3" min="3" style="0" width="60"/>
    <col collapsed="false" customWidth="true" hidden="false" outlineLevel="0" max="4" min="4" style="0" width="9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8" min="8" style="0" width="20"/>
    <col collapsed="false" customWidth="true" hidden="false" outlineLevel="0" max="11" min="9" style="0" width="5"/>
    <col collapsed="false" customWidth="true" hidden="false" outlineLevel="0" max="12" min="12" style="0" width="11"/>
    <col collapsed="false" customWidth="true" hidden="false" outlineLevel="0" max="13" min="13" style="0" width="5"/>
    <col collapsed="false" customWidth="true" hidden="false" outlineLevel="0" max="15" min="14" style="0" width="16"/>
    <col collapsed="false" customWidth="true" hidden="true" outlineLevel="0" max="16" min="16" style="0" width="11"/>
  </cols>
  <sheetData>
    <row r="1" customFormat="false" ht="23.85" hidden="false" customHeight="false" outlineLevel="0" collapsed="false">
      <c r="A1" s="7" t="s">
        <v>11</v>
      </c>
      <c r="B1" s="7" t="s">
        <v>12</v>
      </c>
      <c r="C1" s="7" t="s">
        <v>13</v>
      </c>
      <c r="D1" s="7" t="s">
        <v>14</v>
      </c>
      <c r="E1" s="7" t="s">
        <v>15</v>
      </c>
      <c r="F1" s="7" t="s">
        <v>16</v>
      </c>
      <c r="G1" s="7" t="s">
        <v>17</v>
      </c>
      <c r="H1" s="7" t="s">
        <v>18</v>
      </c>
      <c r="I1" s="7" t="s">
        <v>19</v>
      </c>
      <c r="J1" s="7" t="s">
        <v>20</v>
      </c>
      <c r="K1" s="7" t="s">
        <v>21</v>
      </c>
      <c r="L1" s="7" t="s">
        <v>22</v>
      </c>
      <c r="M1" s="7" t="s">
        <v>23</v>
      </c>
      <c r="N1" s="7" t="s">
        <v>24</v>
      </c>
      <c r="O1" s="7" t="s">
        <v>25</v>
      </c>
      <c r="P1" s="7" t="s">
        <v>26</v>
      </c>
    </row>
    <row r="2" customFormat="false" ht="48" hidden="false" customHeight="true" outlineLevel="0" collapsed="false">
      <c r="A2" s="8" t="s">
        <v>27</v>
      </c>
      <c r="B2" s="9" t="s">
        <v>28</v>
      </c>
      <c r="C2" s="9" t="s">
        <v>29</v>
      </c>
      <c r="D2" s="8" t="s">
        <v>30</v>
      </c>
      <c r="E2" s="8" t="s">
        <v>31</v>
      </c>
      <c r="F2" s="8" t="s">
        <v>32</v>
      </c>
      <c r="G2" s="8" t="s">
        <v>33</v>
      </c>
      <c r="H2" s="9" t="s">
        <v>34</v>
      </c>
      <c r="I2" s="10" t="n">
        <v>5</v>
      </c>
      <c r="J2" s="10" t="n">
        <v>4</v>
      </c>
      <c r="K2" s="10" t="n">
        <v>3</v>
      </c>
      <c r="L2" s="11" t="n">
        <f aca="false">ROUND(AVERAGE(I2:K2),1)</f>
        <v>4</v>
      </c>
      <c r="M2" s="10" t="n">
        <v>2</v>
      </c>
      <c r="N2" s="8" t="s">
        <v>35</v>
      </c>
      <c r="O2" s="8" t="str">
        <f aca="false">IF(L2&gt;=Instrucciones!$B$12,IF(M2&gt;=Instrucciones!$B$13,"Reto inmediato","Reto mediato"),IF(M2&gt;=Instrucciones!$B$13,"Menos urgente","Innecesario"))</f>
        <v>Reto mediato</v>
      </c>
      <c r="P2" s="12" t="n">
        <f aca="false">L2+M2/100+(100-ROW())/100000</f>
        <v>4.02098</v>
      </c>
    </row>
    <row r="3" customFormat="false" ht="48" hidden="false" customHeight="true" outlineLevel="0" collapsed="false">
      <c r="A3" s="8" t="s">
        <v>36</v>
      </c>
      <c r="B3" s="9" t="s">
        <v>37</v>
      </c>
      <c r="C3" s="9" t="s">
        <v>38</v>
      </c>
      <c r="D3" s="8" t="s">
        <v>30</v>
      </c>
      <c r="E3" s="8" t="s">
        <v>31</v>
      </c>
      <c r="F3" s="8" t="s">
        <v>39</v>
      </c>
      <c r="G3" s="8" t="s">
        <v>40</v>
      </c>
      <c r="H3" s="9" t="s">
        <v>41</v>
      </c>
      <c r="I3" s="10" t="n">
        <v>5</v>
      </c>
      <c r="J3" s="10" t="n">
        <v>2</v>
      </c>
      <c r="K3" s="10" t="n">
        <v>2</v>
      </c>
      <c r="L3" s="11" t="n">
        <f aca="false">ROUND(AVERAGE(I3:K3),1)</f>
        <v>3</v>
      </c>
      <c r="M3" s="10" t="n">
        <v>1</v>
      </c>
      <c r="N3" s="8" t="s">
        <v>42</v>
      </c>
      <c r="O3" s="8" t="str">
        <f aca="false">IF(L3&gt;=Instrucciones!$B$12,IF(M3&gt;=Instrucciones!$B$13,"Reto inmediato","Reto mediato"),IF(M3&gt;=Instrucciones!$B$13,"Menos urgente","Innecesario"))</f>
        <v>Innecesario</v>
      </c>
      <c r="P3" s="12" t="n">
        <f aca="false">L3+M3/100+(100-ROW())/100000</f>
        <v>3.01097</v>
      </c>
    </row>
    <row r="4" customFormat="false" ht="48" hidden="false" customHeight="true" outlineLevel="0" collapsed="false">
      <c r="A4" s="8" t="s">
        <v>43</v>
      </c>
      <c r="B4" s="9" t="s">
        <v>44</v>
      </c>
      <c r="C4" s="9" t="s">
        <v>45</v>
      </c>
      <c r="D4" s="8" t="s">
        <v>30</v>
      </c>
      <c r="E4" s="8" t="s">
        <v>31</v>
      </c>
      <c r="F4" s="8" t="s">
        <v>32</v>
      </c>
      <c r="G4" s="8" t="s">
        <v>33</v>
      </c>
      <c r="H4" s="9" t="s">
        <v>46</v>
      </c>
      <c r="I4" s="10" t="n">
        <v>4</v>
      </c>
      <c r="J4" s="10" t="n">
        <v>3</v>
      </c>
      <c r="K4" s="10" t="n">
        <v>3</v>
      </c>
      <c r="L4" s="11" t="n">
        <f aca="false">ROUND(AVERAGE(I4:K4),1)</f>
        <v>3.3</v>
      </c>
      <c r="M4" s="10" t="n">
        <v>2</v>
      </c>
      <c r="N4" s="8" t="s">
        <v>35</v>
      </c>
      <c r="O4" s="8" t="str">
        <f aca="false">IF(L4&gt;=Instrucciones!$B$12,IF(M4&gt;=Instrucciones!$B$13,"Reto inmediato","Reto mediato"),IF(M4&gt;=Instrucciones!$B$13,"Menos urgente","Innecesario"))</f>
        <v>Innecesario</v>
      </c>
      <c r="P4" s="12" t="n">
        <f aca="false">L4+M4/100+(100-ROW())/100000</f>
        <v>3.32096</v>
      </c>
    </row>
    <row r="5" customFormat="false" ht="48" hidden="false" customHeight="true" outlineLevel="0" collapsed="false">
      <c r="A5" s="8" t="s">
        <v>47</v>
      </c>
      <c r="B5" s="9" t="s">
        <v>48</v>
      </c>
      <c r="C5" s="9" t="s">
        <v>49</v>
      </c>
      <c r="D5" s="8" t="s">
        <v>30</v>
      </c>
      <c r="E5" s="8" t="s">
        <v>50</v>
      </c>
      <c r="F5" s="8" t="s">
        <v>39</v>
      </c>
      <c r="G5" s="8" t="s">
        <v>40</v>
      </c>
      <c r="H5" s="9" t="s">
        <v>41</v>
      </c>
      <c r="I5" s="10" t="n">
        <v>5</v>
      </c>
      <c r="J5" s="10" t="n">
        <v>4</v>
      </c>
      <c r="K5" s="10" t="n">
        <v>4</v>
      </c>
      <c r="L5" s="11" t="n">
        <f aca="false">ROUND(AVERAGE(I5:K5),1)</f>
        <v>4.3</v>
      </c>
      <c r="M5" s="10" t="n">
        <v>1</v>
      </c>
      <c r="N5" s="8" t="s">
        <v>51</v>
      </c>
      <c r="O5" s="8" t="str">
        <f aca="false">IF(L5&gt;=Instrucciones!$B$12,IF(M5&gt;=Instrucciones!$B$13,"Reto inmediato","Reto mediato"),IF(M5&gt;=Instrucciones!$B$13,"Menos urgente","Innecesario"))</f>
        <v>Reto mediato</v>
      </c>
      <c r="P5" s="12" t="n">
        <f aca="false">L5+M5/100+(100-ROW())/100000</f>
        <v>4.31095</v>
      </c>
    </row>
    <row r="6" customFormat="false" ht="48" hidden="false" customHeight="true" outlineLevel="0" collapsed="false">
      <c r="A6" s="8" t="s">
        <v>52</v>
      </c>
      <c r="B6" s="9" t="s">
        <v>53</v>
      </c>
      <c r="C6" s="9" t="s">
        <v>54</v>
      </c>
      <c r="D6" s="8" t="s">
        <v>30</v>
      </c>
      <c r="E6" s="8" t="s">
        <v>50</v>
      </c>
      <c r="F6" s="8" t="s">
        <v>55</v>
      </c>
      <c r="G6" s="8" t="s">
        <v>40</v>
      </c>
      <c r="H6" s="9" t="s">
        <v>56</v>
      </c>
      <c r="I6" s="10" t="n">
        <v>4</v>
      </c>
      <c r="J6" s="10" t="n">
        <v>4</v>
      </c>
      <c r="K6" s="10" t="n">
        <v>5</v>
      </c>
      <c r="L6" s="11" t="n">
        <f aca="false">ROUND(AVERAGE(I6:K6),1)</f>
        <v>4.3</v>
      </c>
      <c r="M6" s="10" t="n">
        <v>1</v>
      </c>
      <c r="N6" s="8" t="s">
        <v>35</v>
      </c>
      <c r="O6" s="8" t="str">
        <f aca="false">IF(L6&gt;=Instrucciones!$B$12,IF(M6&gt;=Instrucciones!$B$13,"Reto inmediato","Reto mediato"),IF(M6&gt;=Instrucciones!$B$13,"Menos urgente","Innecesario"))</f>
        <v>Reto mediato</v>
      </c>
      <c r="P6" s="12" t="n">
        <f aca="false">L6+M6/100+(100-ROW())/100000</f>
        <v>4.31094</v>
      </c>
    </row>
    <row r="7" customFormat="false" ht="48" hidden="false" customHeight="true" outlineLevel="0" collapsed="false">
      <c r="A7" s="8" t="s">
        <v>57</v>
      </c>
      <c r="B7" s="9" t="s">
        <v>58</v>
      </c>
      <c r="C7" s="9" t="s">
        <v>59</v>
      </c>
      <c r="D7" s="8" t="s">
        <v>30</v>
      </c>
      <c r="E7" s="8" t="s">
        <v>50</v>
      </c>
      <c r="F7" s="8" t="s">
        <v>32</v>
      </c>
      <c r="G7" s="8" t="s">
        <v>33</v>
      </c>
      <c r="H7" s="9" t="s">
        <v>56</v>
      </c>
      <c r="I7" s="10" t="n">
        <v>4</v>
      </c>
      <c r="J7" s="10" t="n">
        <v>5</v>
      </c>
      <c r="K7" s="10" t="n">
        <v>5</v>
      </c>
      <c r="L7" s="11" t="n">
        <f aca="false">ROUND(AVERAGE(I7:K7),1)</f>
        <v>4.7</v>
      </c>
      <c r="M7" s="10" t="n">
        <v>2</v>
      </c>
      <c r="N7" s="8" t="s">
        <v>35</v>
      </c>
      <c r="O7" s="8" t="str">
        <f aca="false">IF(L7&gt;=Instrucciones!$B$12,IF(M7&gt;=Instrucciones!$B$13,"Reto inmediato","Reto mediato"),IF(M7&gt;=Instrucciones!$B$13,"Menos urgente","Innecesario"))</f>
        <v>Reto mediato</v>
      </c>
      <c r="P7" s="12" t="n">
        <f aca="false">L7+M7/100+(100-ROW())/100000</f>
        <v>4.72093</v>
      </c>
    </row>
    <row r="8" customFormat="false" ht="48" hidden="false" customHeight="true" outlineLevel="0" collapsed="false">
      <c r="A8" s="8" t="s">
        <v>60</v>
      </c>
      <c r="B8" s="9" t="s">
        <v>61</v>
      </c>
      <c r="C8" s="9" t="s">
        <v>62</v>
      </c>
      <c r="D8" s="8" t="s">
        <v>30</v>
      </c>
      <c r="E8" s="8" t="s">
        <v>50</v>
      </c>
      <c r="F8" s="8" t="s">
        <v>63</v>
      </c>
      <c r="G8" s="8" t="s">
        <v>40</v>
      </c>
      <c r="H8" s="9" t="s">
        <v>41</v>
      </c>
      <c r="I8" s="10" t="n">
        <v>4</v>
      </c>
      <c r="J8" s="10" t="n">
        <v>3</v>
      </c>
      <c r="K8" s="10" t="n">
        <v>3</v>
      </c>
      <c r="L8" s="11" t="n">
        <f aca="false">ROUND(AVERAGE(I8:K8),1)</f>
        <v>3.3</v>
      </c>
      <c r="M8" s="10" t="n">
        <v>1</v>
      </c>
      <c r="N8" s="8" t="s">
        <v>64</v>
      </c>
      <c r="O8" s="8" t="str">
        <f aca="false">IF(L8&gt;=Instrucciones!$B$12,IF(M8&gt;=Instrucciones!$B$13,"Reto inmediato","Reto mediato"),IF(M8&gt;=Instrucciones!$B$13,"Menos urgente","Innecesario"))</f>
        <v>Innecesario</v>
      </c>
      <c r="P8" s="12" t="n">
        <f aca="false">L8+M8/100+(100-ROW())/100000</f>
        <v>3.31092</v>
      </c>
    </row>
    <row r="9" customFormat="false" ht="48" hidden="false" customHeight="true" outlineLevel="0" collapsed="false">
      <c r="A9" s="8" t="s">
        <v>65</v>
      </c>
      <c r="B9" s="9" t="s">
        <v>66</v>
      </c>
      <c r="C9" s="9" t="s">
        <v>67</v>
      </c>
      <c r="D9" s="8" t="s">
        <v>30</v>
      </c>
      <c r="E9" s="8" t="s">
        <v>68</v>
      </c>
      <c r="F9" s="8" t="s">
        <v>32</v>
      </c>
      <c r="G9" s="8" t="s">
        <v>69</v>
      </c>
      <c r="H9" s="9" t="s">
        <v>70</v>
      </c>
      <c r="I9" s="10" t="n">
        <v>5</v>
      </c>
      <c r="J9" s="10" t="n">
        <v>5</v>
      </c>
      <c r="K9" s="10" t="n">
        <v>4</v>
      </c>
      <c r="L9" s="11" t="n">
        <f aca="false">ROUND(AVERAGE(I9:K9),1)</f>
        <v>4.7</v>
      </c>
      <c r="M9" s="10" t="n">
        <v>2</v>
      </c>
      <c r="N9" s="8" t="s">
        <v>71</v>
      </c>
      <c r="O9" s="8" t="str">
        <f aca="false">IF(L9&gt;=Instrucciones!$B$12,IF(M9&gt;=Instrucciones!$B$13,"Reto inmediato","Reto mediato"),IF(M9&gt;=Instrucciones!$B$13,"Menos urgente","Innecesario"))</f>
        <v>Reto mediato</v>
      </c>
      <c r="P9" s="12" t="n">
        <f aca="false">L9+M9/100+(100-ROW())/100000</f>
        <v>4.72091</v>
      </c>
    </row>
    <row r="10" customFormat="false" ht="48" hidden="false" customHeight="true" outlineLevel="0" collapsed="false">
      <c r="A10" s="8" t="s">
        <v>72</v>
      </c>
      <c r="B10" s="9" t="s">
        <v>73</v>
      </c>
      <c r="C10" s="9" t="s">
        <v>74</v>
      </c>
      <c r="D10" s="8" t="s">
        <v>30</v>
      </c>
      <c r="E10" s="8" t="s">
        <v>68</v>
      </c>
      <c r="F10" s="8" t="s">
        <v>32</v>
      </c>
      <c r="G10" s="8" t="s">
        <v>33</v>
      </c>
      <c r="H10" s="9" t="s">
        <v>41</v>
      </c>
      <c r="I10" s="10" t="n">
        <v>5</v>
      </c>
      <c r="J10" s="10" t="n">
        <v>4</v>
      </c>
      <c r="K10" s="10" t="n">
        <v>4</v>
      </c>
      <c r="L10" s="11" t="n">
        <f aca="false">ROUND(AVERAGE(I10:K10),1)</f>
        <v>4.3</v>
      </c>
      <c r="M10" s="10" t="n">
        <v>2</v>
      </c>
      <c r="N10" s="8" t="s">
        <v>71</v>
      </c>
      <c r="O10" s="8" t="str">
        <f aca="false">IF(L10&gt;=Instrucciones!$B$12,IF(M10&gt;=Instrucciones!$B$13,"Reto inmediato","Reto mediato"),IF(M10&gt;=Instrucciones!$B$13,"Menos urgente","Innecesario"))</f>
        <v>Reto mediato</v>
      </c>
      <c r="P10" s="12" t="n">
        <f aca="false">L10+M10/100+(100-ROW())/100000</f>
        <v>4.3209</v>
      </c>
    </row>
    <row r="11" customFormat="false" ht="48" hidden="false" customHeight="true" outlineLevel="0" collapsed="false">
      <c r="A11" s="8" t="s">
        <v>75</v>
      </c>
      <c r="B11" s="9" t="s">
        <v>76</v>
      </c>
      <c r="C11" s="9" t="s">
        <v>77</v>
      </c>
      <c r="D11" s="8" t="s">
        <v>30</v>
      </c>
      <c r="E11" s="8" t="s">
        <v>68</v>
      </c>
      <c r="F11" s="8" t="s">
        <v>32</v>
      </c>
      <c r="G11" s="8" t="s">
        <v>33</v>
      </c>
      <c r="H11" s="9" t="s">
        <v>78</v>
      </c>
      <c r="I11" s="10" t="n">
        <v>5</v>
      </c>
      <c r="J11" s="10" t="n">
        <v>4</v>
      </c>
      <c r="K11" s="10" t="n">
        <v>4</v>
      </c>
      <c r="L11" s="11" t="n">
        <f aca="false">ROUND(AVERAGE(I11:K11),1)</f>
        <v>4.3</v>
      </c>
      <c r="M11" s="10" t="n">
        <v>2</v>
      </c>
      <c r="N11" s="8" t="s">
        <v>35</v>
      </c>
      <c r="O11" s="8" t="str">
        <f aca="false">IF(L11&gt;=Instrucciones!$B$12,IF(M11&gt;=Instrucciones!$B$13,"Reto inmediato","Reto mediato"),IF(M11&gt;=Instrucciones!$B$13,"Menos urgente","Innecesario"))</f>
        <v>Reto mediato</v>
      </c>
      <c r="P11" s="12" t="n">
        <f aca="false">L11+M11/100+(100-ROW())/100000</f>
        <v>4.32089</v>
      </c>
    </row>
    <row r="12" customFormat="false" ht="48" hidden="false" customHeight="true" outlineLevel="0" collapsed="false">
      <c r="A12" s="8" t="s">
        <v>79</v>
      </c>
      <c r="B12" s="9" t="s">
        <v>80</v>
      </c>
      <c r="C12" s="9" t="s">
        <v>81</v>
      </c>
      <c r="D12" s="8" t="s">
        <v>30</v>
      </c>
      <c r="E12" s="8" t="s">
        <v>68</v>
      </c>
      <c r="F12" s="8" t="s">
        <v>32</v>
      </c>
      <c r="G12" s="8" t="s">
        <v>69</v>
      </c>
      <c r="H12" s="9" t="s">
        <v>41</v>
      </c>
      <c r="I12" s="10" t="n">
        <v>5</v>
      </c>
      <c r="J12" s="10" t="n">
        <v>3</v>
      </c>
      <c r="K12" s="10" t="n">
        <v>2</v>
      </c>
      <c r="L12" s="11" t="n">
        <f aca="false">ROUND(AVERAGE(I12:K12),1)</f>
        <v>3.3</v>
      </c>
      <c r="M12" s="10" t="n">
        <v>3</v>
      </c>
      <c r="N12" s="8" t="s">
        <v>35</v>
      </c>
      <c r="O12" s="8" t="str">
        <f aca="false">IF(L12&gt;=Instrucciones!$B$12,IF(M12&gt;=Instrucciones!$B$13,"Reto inmediato","Reto mediato"),IF(M12&gt;=Instrucciones!$B$13,"Menos urgente","Innecesario"))</f>
        <v>Menos urgente</v>
      </c>
      <c r="P12" s="12" t="n">
        <f aca="false">L12+M12/100+(100-ROW())/100000</f>
        <v>3.33088</v>
      </c>
    </row>
    <row r="13" customFormat="false" ht="48" hidden="false" customHeight="true" outlineLevel="0" collapsed="false">
      <c r="A13" s="8" t="s">
        <v>82</v>
      </c>
      <c r="B13" s="9" t="s">
        <v>83</v>
      </c>
      <c r="C13" s="9" t="s">
        <v>84</v>
      </c>
      <c r="D13" s="8" t="s">
        <v>30</v>
      </c>
      <c r="E13" s="8" t="s">
        <v>85</v>
      </c>
      <c r="F13" s="8" t="s">
        <v>86</v>
      </c>
      <c r="G13" s="8" t="s">
        <v>40</v>
      </c>
      <c r="H13" s="9" t="s">
        <v>78</v>
      </c>
      <c r="I13" s="10" t="n">
        <v>5</v>
      </c>
      <c r="J13" s="10" t="n">
        <v>5</v>
      </c>
      <c r="K13" s="10" t="n">
        <v>5</v>
      </c>
      <c r="L13" s="11" t="n">
        <f aca="false">ROUND(AVERAGE(I13:K13),1)</f>
        <v>5</v>
      </c>
      <c r="M13" s="10" t="n">
        <v>3</v>
      </c>
      <c r="N13" s="8" t="s">
        <v>51</v>
      </c>
      <c r="O13" s="8" t="str">
        <f aca="false">IF(L13&gt;=Instrucciones!$B$12,IF(M13&gt;=Instrucciones!$B$13,"Reto inmediato","Reto mediato"),IF(M13&gt;=Instrucciones!$B$13,"Menos urgente","Innecesario"))</f>
        <v>Reto inmediato</v>
      </c>
      <c r="P13" s="12" t="n">
        <f aca="false">L13+M13/100+(100-ROW())/100000</f>
        <v>5.03087</v>
      </c>
    </row>
    <row r="14" customFormat="false" ht="48" hidden="false" customHeight="true" outlineLevel="0" collapsed="false">
      <c r="A14" s="8" t="s">
        <v>87</v>
      </c>
      <c r="B14" s="9" t="s">
        <v>88</v>
      </c>
      <c r="C14" s="9" t="s">
        <v>89</v>
      </c>
      <c r="D14" s="8" t="s">
        <v>30</v>
      </c>
      <c r="E14" s="8" t="s">
        <v>85</v>
      </c>
      <c r="F14" s="8" t="s">
        <v>32</v>
      </c>
      <c r="G14" s="8" t="s">
        <v>33</v>
      </c>
      <c r="H14" s="9" t="s">
        <v>41</v>
      </c>
      <c r="I14" s="10" t="n">
        <v>4</v>
      </c>
      <c r="J14" s="10" t="n">
        <v>4</v>
      </c>
      <c r="K14" s="10" t="n">
        <v>4</v>
      </c>
      <c r="L14" s="11" t="n">
        <f aca="false">ROUND(AVERAGE(I14:K14),1)</f>
        <v>4</v>
      </c>
      <c r="M14" s="10" t="n">
        <v>2</v>
      </c>
      <c r="N14" s="8" t="s">
        <v>35</v>
      </c>
      <c r="O14" s="8" t="str">
        <f aca="false">IF(L14&gt;=Instrucciones!$B$12,IF(M14&gt;=Instrucciones!$B$13,"Reto inmediato","Reto mediato"),IF(M14&gt;=Instrucciones!$B$13,"Menos urgente","Innecesario"))</f>
        <v>Reto mediato</v>
      </c>
      <c r="P14" s="12" t="n">
        <f aca="false">L14+M14/100+(100-ROW())/100000</f>
        <v>4.02086</v>
      </c>
    </row>
    <row r="15" customFormat="false" ht="48" hidden="false" customHeight="true" outlineLevel="0" collapsed="false">
      <c r="A15" s="8" t="s">
        <v>90</v>
      </c>
      <c r="B15" s="9" t="s">
        <v>91</v>
      </c>
      <c r="C15" s="9" t="s">
        <v>92</v>
      </c>
      <c r="D15" s="8" t="s">
        <v>30</v>
      </c>
      <c r="E15" s="8" t="s">
        <v>85</v>
      </c>
      <c r="F15" s="8" t="s">
        <v>32</v>
      </c>
      <c r="G15" s="8" t="s">
        <v>33</v>
      </c>
      <c r="H15" s="9" t="s">
        <v>41</v>
      </c>
      <c r="I15" s="10" t="n">
        <v>5</v>
      </c>
      <c r="J15" s="10" t="n">
        <v>3</v>
      </c>
      <c r="K15" s="10" t="n">
        <v>2</v>
      </c>
      <c r="L15" s="11" t="n">
        <f aca="false">ROUND(AVERAGE(I15:K15),1)</f>
        <v>3.3</v>
      </c>
      <c r="M15" s="10" t="n">
        <v>3</v>
      </c>
      <c r="N15" s="8" t="s">
        <v>71</v>
      </c>
      <c r="O15" s="8" t="str">
        <f aca="false">IF(L15&gt;=Instrucciones!$B$12,IF(M15&gt;=Instrucciones!$B$13,"Reto inmediato","Reto mediato"),IF(M15&gt;=Instrucciones!$B$13,"Menos urgente","Innecesario"))</f>
        <v>Menos urgente</v>
      </c>
      <c r="P15" s="12" t="n">
        <f aca="false">L15+M15/100+(100-ROW())/100000</f>
        <v>3.33085</v>
      </c>
    </row>
    <row r="16" customFormat="false" ht="48" hidden="false" customHeight="true" outlineLevel="0" collapsed="false">
      <c r="A16" s="8" t="s">
        <v>93</v>
      </c>
      <c r="B16" s="9" t="s">
        <v>94</v>
      </c>
      <c r="C16" s="9" t="s">
        <v>95</v>
      </c>
      <c r="D16" s="8" t="s">
        <v>30</v>
      </c>
      <c r="E16" s="8" t="s">
        <v>85</v>
      </c>
      <c r="F16" s="8" t="s">
        <v>32</v>
      </c>
      <c r="G16" s="8" t="s">
        <v>40</v>
      </c>
      <c r="H16" s="9" t="s">
        <v>41</v>
      </c>
      <c r="I16" s="10" t="n">
        <v>5</v>
      </c>
      <c r="J16" s="10" t="n">
        <v>4</v>
      </c>
      <c r="K16" s="10" t="n">
        <v>4</v>
      </c>
      <c r="L16" s="11" t="n">
        <f aca="false">ROUND(AVERAGE(I16:K16),1)</f>
        <v>4.3</v>
      </c>
      <c r="M16" s="10" t="n">
        <v>3</v>
      </c>
      <c r="N16" s="8" t="s">
        <v>42</v>
      </c>
      <c r="O16" s="8" t="str">
        <f aca="false">IF(L16&gt;=Instrucciones!$B$12,IF(M16&gt;=Instrucciones!$B$13,"Reto inmediato","Reto mediato"),IF(M16&gt;=Instrucciones!$B$13,"Menos urgente","Innecesario"))</f>
        <v>Reto inmediato</v>
      </c>
      <c r="P16" s="12" t="n">
        <f aca="false">L16+M16/100+(100-ROW())/100000</f>
        <v>4.33084</v>
      </c>
    </row>
    <row r="17" customFormat="false" ht="48" hidden="false" customHeight="true" outlineLevel="0" collapsed="false">
      <c r="A17" s="8" t="s">
        <v>96</v>
      </c>
      <c r="B17" s="9" t="s">
        <v>97</v>
      </c>
      <c r="C17" s="9" t="s">
        <v>98</v>
      </c>
      <c r="D17" s="8" t="s">
        <v>30</v>
      </c>
      <c r="E17" s="8" t="s">
        <v>99</v>
      </c>
      <c r="F17" s="8" t="s">
        <v>100</v>
      </c>
      <c r="G17" s="8" t="s">
        <v>69</v>
      </c>
      <c r="H17" s="9" t="s">
        <v>41</v>
      </c>
      <c r="I17" s="10" t="n">
        <v>3</v>
      </c>
      <c r="J17" s="10" t="n">
        <v>2</v>
      </c>
      <c r="K17" s="10" t="n">
        <v>2</v>
      </c>
      <c r="L17" s="11" t="n">
        <f aca="false">ROUND(AVERAGE(I17:K17),1)</f>
        <v>2.3</v>
      </c>
      <c r="M17" s="10" t="n">
        <v>3</v>
      </c>
      <c r="N17" s="8" t="s">
        <v>35</v>
      </c>
      <c r="O17" s="8" t="str">
        <f aca="false">IF(L17&gt;=Instrucciones!$B$12,IF(M17&gt;=Instrucciones!$B$13,"Reto inmediato","Reto mediato"),IF(M17&gt;=Instrucciones!$B$13,"Menos urgente","Innecesario"))</f>
        <v>Menos urgente</v>
      </c>
      <c r="P17" s="12" t="n">
        <f aca="false">L17+M17/100+(100-ROW())/100000</f>
        <v>2.33083</v>
      </c>
    </row>
    <row r="18" customFormat="false" ht="48" hidden="false" customHeight="true" outlineLevel="0" collapsed="false">
      <c r="A18" s="8" t="s">
        <v>101</v>
      </c>
      <c r="B18" s="9" t="s">
        <v>102</v>
      </c>
      <c r="C18" s="9" t="s">
        <v>103</v>
      </c>
      <c r="D18" s="8" t="s">
        <v>30</v>
      </c>
      <c r="E18" s="8" t="s">
        <v>99</v>
      </c>
      <c r="F18" s="8" t="s">
        <v>63</v>
      </c>
      <c r="G18" s="8" t="s">
        <v>69</v>
      </c>
      <c r="H18" s="9" t="s">
        <v>41</v>
      </c>
      <c r="I18" s="10" t="n">
        <v>3</v>
      </c>
      <c r="J18" s="10" t="n">
        <v>1</v>
      </c>
      <c r="K18" s="10" t="n">
        <v>1</v>
      </c>
      <c r="L18" s="11" t="n">
        <f aca="false">ROUND(AVERAGE(I18:K18),1)</f>
        <v>1.7</v>
      </c>
      <c r="M18" s="10" t="n">
        <v>4</v>
      </c>
      <c r="N18" s="8" t="s">
        <v>71</v>
      </c>
      <c r="O18" s="8" t="str">
        <f aca="false">IF(L18&gt;=Instrucciones!$B$12,IF(M18&gt;=Instrucciones!$B$13,"Reto inmediato","Reto mediato"),IF(M18&gt;=Instrucciones!$B$13,"Menos urgente","Innecesario"))</f>
        <v>Menos urgente</v>
      </c>
      <c r="P18" s="12" t="n">
        <f aca="false">L18+M18/100+(100-ROW())/100000</f>
        <v>1.74082</v>
      </c>
    </row>
    <row r="19" customFormat="false" ht="48" hidden="false" customHeight="true" outlineLevel="0" collapsed="false">
      <c r="A19" s="8" t="s">
        <v>104</v>
      </c>
      <c r="B19" s="9" t="s">
        <v>105</v>
      </c>
      <c r="C19" s="9" t="s">
        <v>106</v>
      </c>
      <c r="D19" s="8" t="s">
        <v>30</v>
      </c>
      <c r="E19" s="8" t="s">
        <v>107</v>
      </c>
      <c r="F19" s="8" t="s">
        <v>100</v>
      </c>
      <c r="G19" s="8" t="s">
        <v>33</v>
      </c>
      <c r="H19" s="9" t="s">
        <v>34</v>
      </c>
      <c r="I19" s="10" t="n">
        <v>4</v>
      </c>
      <c r="J19" s="10" t="n">
        <v>4</v>
      </c>
      <c r="K19" s="10" t="n">
        <v>3</v>
      </c>
      <c r="L19" s="11" t="n">
        <f aca="false">ROUND(AVERAGE(I19:K19),1)</f>
        <v>3.7</v>
      </c>
      <c r="M19" s="10" t="n">
        <v>2</v>
      </c>
      <c r="N19" s="8" t="s">
        <v>42</v>
      </c>
      <c r="O19" s="8" t="str">
        <f aca="false">IF(L19&gt;=Instrucciones!$B$12,IF(M19&gt;=Instrucciones!$B$13,"Reto inmediato","Reto mediato"),IF(M19&gt;=Instrucciones!$B$13,"Menos urgente","Innecesario"))</f>
        <v>Reto mediato</v>
      </c>
      <c r="P19" s="12" t="n">
        <f aca="false">L19+M19/100+(100-ROW())/100000</f>
        <v>3.72081</v>
      </c>
    </row>
    <row r="20" customFormat="false" ht="48" hidden="false" customHeight="true" outlineLevel="0" collapsed="false">
      <c r="A20" s="8" t="s">
        <v>108</v>
      </c>
      <c r="B20" s="9" t="s">
        <v>109</v>
      </c>
      <c r="C20" s="9" t="s">
        <v>110</v>
      </c>
      <c r="D20" s="8" t="s">
        <v>30</v>
      </c>
      <c r="E20" s="8" t="s">
        <v>107</v>
      </c>
      <c r="F20" s="8" t="s">
        <v>32</v>
      </c>
      <c r="G20" s="8" t="s">
        <v>40</v>
      </c>
      <c r="H20" s="9" t="s">
        <v>41</v>
      </c>
      <c r="I20" s="10" t="n">
        <v>5</v>
      </c>
      <c r="J20" s="10" t="n">
        <v>4</v>
      </c>
      <c r="K20" s="10" t="n">
        <v>4</v>
      </c>
      <c r="L20" s="11" t="n">
        <f aca="false">ROUND(AVERAGE(I20:K20),1)</f>
        <v>4.3</v>
      </c>
      <c r="M20" s="10" t="n">
        <v>1</v>
      </c>
      <c r="N20" s="8" t="s">
        <v>71</v>
      </c>
      <c r="O20" s="8" t="str">
        <f aca="false">IF(L20&gt;=Instrucciones!$B$12,IF(M20&gt;=Instrucciones!$B$13,"Reto inmediato","Reto mediato"),IF(M20&gt;=Instrucciones!$B$13,"Menos urgente","Innecesario"))</f>
        <v>Reto mediato</v>
      </c>
      <c r="P20" s="12" t="n">
        <f aca="false">L20+M20/100+(100-ROW())/100000</f>
        <v>4.3108</v>
      </c>
    </row>
    <row r="21" customFormat="false" ht="48" hidden="false" customHeight="true" outlineLevel="0" collapsed="false">
      <c r="A21" s="8" t="s">
        <v>111</v>
      </c>
      <c r="B21" s="9" t="s">
        <v>112</v>
      </c>
      <c r="C21" s="9" t="s">
        <v>113</v>
      </c>
      <c r="D21" s="8" t="s">
        <v>30</v>
      </c>
      <c r="E21" s="8" t="s">
        <v>107</v>
      </c>
      <c r="F21" s="8" t="s">
        <v>100</v>
      </c>
      <c r="G21" s="8" t="s">
        <v>33</v>
      </c>
      <c r="H21" s="9" t="s">
        <v>41</v>
      </c>
      <c r="I21" s="10" t="n">
        <v>3</v>
      </c>
      <c r="J21" s="10" t="n">
        <v>3</v>
      </c>
      <c r="K21" s="10" t="n">
        <v>3</v>
      </c>
      <c r="L21" s="11" t="n">
        <f aca="false">ROUND(AVERAGE(I21:K21),1)</f>
        <v>3</v>
      </c>
      <c r="M21" s="10" t="n">
        <v>2</v>
      </c>
      <c r="N21" s="8" t="s">
        <v>42</v>
      </c>
      <c r="O21" s="8" t="str">
        <f aca="false">IF(L21&gt;=Instrucciones!$B$12,IF(M21&gt;=Instrucciones!$B$13,"Reto inmediato","Reto mediato"),IF(M21&gt;=Instrucciones!$B$13,"Menos urgente","Innecesario"))</f>
        <v>Innecesario</v>
      </c>
      <c r="P21" s="12" t="n">
        <f aca="false">L21+M21/100+(100-ROW())/100000</f>
        <v>3.02079</v>
      </c>
    </row>
    <row r="22" customFormat="false" ht="48" hidden="false" customHeight="true" outlineLevel="0" collapsed="false">
      <c r="A22" s="8" t="s">
        <v>114</v>
      </c>
      <c r="B22" s="9" t="s">
        <v>115</v>
      </c>
      <c r="C22" s="9" t="s">
        <v>116</v>
      </c>
      <c r="D22" s="8" t="s">
        <v>117</v>
      </c>
      <c r="E22" s="8" t="s">
        <v>118</v>
      </c>
      <c r="F22" s="8" t="s">
        <v>63</v>
      </c>
      <c r="G22" s="8" t="s">
        <v>69</v>
      </c>
      <c r="H22" s="9" t="s">
        <v>119</v>
      </c>
      <c r="I22" s="10" t="n">
        <v>4</v>
      </c>
      <c r="J22" s="10" t="n">
        <v>4</v>
      </c>
      <c r="K22" s="10" t="n">
        <v>4</v>
      </c>
      <c r="L22" s="11" t="n">
        <f aca="false">ROUND(AVERAGE(I22:K22),1)</f>
        <v>4</v>
      </c>
      <c r="M22" s="10" t="n">
        <v>4</v>
      </c>
      <c r="N22" s="8" t="s">
        <v>35</v>
      </c>
      <c r="O22" s="8" t="str">
        <f aca="false">IF(L22&gt;=Instrucciones!$B$12,IF(M22&gt;=Instrucciones!$B$13,"Reto inmediato","Reto mediato"),IF(M22&gt;=Instrucciones!$B$13,"Menos urgente","Innecesario"))</f>
        <v>Reto inmediato</v>
      </c>
      <c r="P22" s="12" t="n">
        <f aca="false">L22+M22/100+(100-ROW())/100000</f>
        <v>4.04078</v>
      </c>
    </row>
    <row r="23" customFormat="false" ht="48" hidden="false" customHeight="true" outlineLevel="0" collapsed="false">
      <c r="A23" s="8" t="s">
        <v>120</v>
      </c>
      <c r="B23" s="9" t="s">
        <v>121</v>
      </c>
      <c r="C23" s="9" t="s">
        <v>122</v>
      </c>
      <c r="D23" s="8" t="s">
        <v>117</v>
      </c>
      <c r="E23" s="8" t="s">
        <v>118</v>
      </c>
      <c r="F23" s="8" t="s">
        <v>32</v>
      </c>
      <c r="G23" s="8" t="s">
        <v>33</v>
      </c>
      <c r="H23" s="9" t="s">
        <v>123</v>
      </c>
      <c r="I23" s="10" t="n">
        <v>4</v>
      </c>
      <c r="J23" s="10" t="n">
        <v>4</v>
      </c>
      <c r="K23" s="10" t="n">
        <v>4</v>
      </c>
      <c r="L23" s="11" t="n">
        <f aca="false">ROUND(AVERAGE(I23:K23),1)</f>
        <v>4</v>
      </c>
      <c r="M23" s="10" t="n">
        <v>5</v>
      </c>
      <c r="N23" s="8" t="s">
        <v>35</v>
      </c>
      <c r="O23" s="8" t="str">
        <f aca="false">IF(L23&gt;=Instrucciones!$B$12,IF(M23&gt;=Instrucciones!$B$13,"Reto inmediato","Reto mediato"),IF(M23&gt;=Instrucciones!$B$13,"Menos urgente","Innecesario"))</f>
        <v>Reto inmediato</v>
      </c>
      <c r="P23" s="12" t="n">
        <f aca="false">L23+M23/100+(100-ROW())/100000</f>
        <v>4.05077</v>
      </c>
    </row>
    <row r="24" customFormat="false" ht="48" hidden="false" customHeight="true" outlineLevel="0" collapsed="false">
      <c r="A24" s="8" t="s">
        <v>124</v>
      </c>
      <c r="B24" s="9" t="s">
        <v>125</v>
      </c>
      <c r="C24" s="9" t="s">
        <v>126</v>
      </c>
      <c r="D24" s="8" t="s">
        <v>117</v>
      </c>
      <c r="E24" s="8" t="s">
        <v>118</v>
      </c>
      <c r="F24" s="8" t="s">
        <v>63</v>
      </c>
      <c r="G24" s="8" t="s">
        <v>69</v>
      </c>
      <c r="H24" s="9" t="s">
        <v>119</v>
      </c>
      <c r="I24" s="10" t="n">
        <v>3</v>
      </c>
      <c r="J24" s="10" t="n">
        <v>3</v>
      </c>
      <c r="K24" s="10" t="n">
        <v>3</v>
      </c>
      <c r="L24" s="11" t="n">
        <f aca="false">ROUND(AVERAGE(I24:K24),1)</f>
        <v>3</v>
      </c>
      <c r="M24" s="10" t="n">
        <v>4</v>
      </c>
      <c r="N24" s="8" t="s">
        <v>35</v>
      </c>
      <c r="O24" s="8" t="str">
        <f aca="false">IF(L24&gt;=Instrucciones!$B$12,IF(M24&gt;=Instrucciones!$B$13,"Reto inmediato","Reto mediato"),IF(M24&gt;=Instrucciones!$B$13,"Menos urgente","Innecesario"))</f>
        <v>Menos urgente</v>
      </c>
      <c r="P24" s="12" t="n">
        <f aca="false">L24+M24/100+(100-ROW())/100000</f>
        <v>3.04076</v>
      </c>
    </row>
    <row r="25" customFormat="false" ht="48" hidden="false" customHeight="true" outlineLevel="0" collapsed="false">
      <c r="A25" s="8" t="s">
        <v>127</v>
      </c>
      <c r="B25" s="9" t="s">
        <v>128</v>
      </c>
      <c r="C25" s="9" t="s">
        <v>129</v>
      </c>
      <c r="D25" s="8" t="s">
        <v>117</v>
      </c>
      <c r="E25" s="8" t="s">
        <v>118</v>
      </c>
      <c r="F25" s="8" t="s">
        <v>63</v>
      </c>
      <c r="G25" s="8" t="s">
        <v>33</v>
      </c>
      <c r="H25" s="9" t="s">
        <v>130</v>
      </c>
      <c r="I25" s="10" t="n">
        <v>4</v>
      </c>
      <c r="J25" s="10" t="n">
        <v>4</v>
      </c>
      <c r="K25" s="10" t="n">
        <v>5</v>
      </c>
      <c r="L25" s="11" t="n">
        <f aca="false">ROUND(AVERAGE(I25:K25),1)</f>
        <v>4.3</v>
      </c>
      <c r="M25" s="10" t="n">
        <v>3</v>
      </c>
      <c r="N25" s="8" t="s">
        <v>35</v>
      </c>
      <c r="O25" s="8" t="str">
        <f aca="false">IF(L25&gt;=Instrucciones!$B$12,IF(M25&gt;=Instrucciones!$B$13,"Reto inmediato","Reto mediato"),IF(M25&gt;=Instrucciones!$B$13,"Menos urgente","Innecesario"))</f>
        <v>Reto inmediato</v>
      </c>
      <c r="P25" s="12" t="n">
        <f aca="false">L25+M25/100+(100-ROW())/100000</f>
        <v>4.33075</v>
      </c>
    </row>
    <row r="26" customFormat="false" ht="48" hidden="false" customHeight="true" outlineLevel="0" collapsed="false">
      <c r="A26" s="8" t="s">
        <v>131</v>
      </c>
      <c r="B26" s="9" t="s">
        <v>132</v>
      </c>
      <c r="C26" s="9" t="s">
        <v>133</v>
      </c>
      <c r="D26" s="8" t="s">
        <v>117</v>
      </c>
      <c r="E26" s="8" t="s">
        <v>118</v>
      </c>
      <c r="F26" s="8" t="s">
        <v>63</v>
      </c>
      <c r="G26" s="8" t="s">
        <v>69</v>
      </c>
      <c r="H26" s="9" t="s">
        <v>119</v>
      </c>
      <c r="I26" s="10" t="n">
        <v>4</v>
      </c>
      <c r="J26" s="10" t="n">
        <v>3</v>
      </c>
      <c r="K26" s="10" t="n">
        <v>3</v>
      </c>
      <c r="L26" s="11" t="n">
        <f aca="false">ROUND(AVERAGE(I26:K26),1)</f>
        <v>3.3</v>
      </c>
      <c r="M26" s="10" t="n">
        <v>5</v>
      </c>
      <c r="N26" s="8" t="s">
        <v>71</v>
      </c>
      <c r="O26" s="8" t="str">
        <f aca="false">IF(L26&gt;=Instrucciones!$B$12,IF(M26&gt;=Instrucciones!$B$13,"Reto inmediato","Reto mediato"),IF(M26&gt;=Instrucciones!$B$13,"Menos urgente","Innecesario"))</f>
        <v>Menos urgente</v>
      </c>
      <c r="P26" s="12" t="n">
        <f aca="false">L26+M26/100+(100-ROW())/100000</f>
        <v>3.35074</v>
      </c>
    </row>
    <row r="27" customFormat="false" ht="48" hidden="false" customHeight="true" outlineLevel="0" collapsed="false">
      <c r="A27" s="8" t="s">
        <v>134</v>
      </c>
      <c r="B27" s="9" t="s">
        <v>135</v>
      </c>
      <c r="C27" s="9" t="s">
        <v>136</v>
      </c>
      <c r="D27" s="8" t="s">
        <v>117</v>
      </c>
      <c r="E27" s="8" t="s">
        <v>137</v>
      </c>
      <c r="F27" s="8" t="s">
        <v>63</v>
      </c>
      <c r="G27" s="8" t="s">
        <v>33</v>
      </c>
      <c r="H27" s="9" t="s">
        <v>138</v>
      </c>
      <c r="I27" s="10" t="n">
        <v>5</v>
      </c>
      <c r="J27" s="10" t="n">
        <v>4</v>
      </c>
      <c r="K27" s="10" t="n">
        <v>4</v>
      </c>
      <c r="L27" s="11" t="n">
        <f aca="false">ROUND(AVERAGE(I27:K27),1)</f>
        <v>4.3</v>
      </c>
      <c r="M27" s="10" t="n">
        <v>2</v>
      </c>
      <c r="N27" s="8" t="s">
        <v>35</v>
      </c>
      <c r="O27" s="8" t="str">
        <f aca="false">IF(L27&gt;=Instrucciones!$B$12,IF(M27&gt;=Instrucciones!$B$13,"Reto inmediato","Reto mediato"),IF(M27&gt;=Instrucciones!$B$13,"Menos urgente","Innecesario"))</f>
        <v>Reto mediato</v>
      </c>
      <c r="P27" s="12" t="n">
        <f aca="false">L27+M27/100+(100-ROW())/100000</f>
        <v>4.32073</v>
      </c>
    </row>
    <row r="28" customFormat="false" ht="48" hidden="false" customHeight="true" outlineLevel="0" collapsed="false">
      <c r="A28" s="8" t="s">
        <v>139</v>
      </c>
      <c r="B28" s="9" t="s">
        <v>140</v>
      </c>
      <c r="C28" s="9" t="s">
        <v>141</v>
      </c>
      <c r="D28" s="8" t="s">
        <v>117</v>
      </c>
      <c r="E28" s="8" t="s">
        <v>137</v>
      </c>
      <c r="F28" s="8" t="s">
        <v>32</v>
      </c>
      <c r="G28" s="8" t="s">
        <v>40</v>
      </c>
      <c r="H28" s="9" t="s">
        <v>41</v>
      </c>
      <c r="I28" s="10" t="n">
        <v>4</v>
      </c>
      <c r="J28" s="10" t="n">
        <v>4</v>
      </c>
      <c r="K28" s="10" t="n">
        <v>4</v>
      </c>
      <c r="L28" s="11" t="n">
        <f aca="false">ROUND(AVERAGE(I28:K28),1)</f>
        <v>4</v>
      </c>
      <c r="M28" s="10" t="n">
        <v>3</v>
      </c>
      <c r="N28" s="8" t="s">
        <v>71</v>
      </c>
      <c r="O28" s="8" t="str">
        <f aca="false">IF(L28&gt;=Instrucciones!$B$12,IF(M28&gt;=Instrucciones!$B$13,"Reto inmediato","Reto mediato"),IF(M28&gt;=Instrucciones!$B$13,"Menos urgente","Innecesario"))</f>
        <v>Reto inmediato</v>
      </c>
      <c r="P28" s="12" t="n">
        <f aca="false">L28+M28/100+(100-ROW())/100000</f>
        <v>4.03072</v>
      </c>
    </row>
    <row r="29" customFormat="false" ht="48" hidden="false" customHeight="true" outlineLevel="0" collapsed="false">
      <c r="A29" s="8" t="s">
        <v>142</v>
      </c>
      <c r="B29" s="9" t="s">
        <v>143</v>
      </c>
      <c r="C29" s="9" t="s">
        <v>144</v>
      </c>
      <c r="D29" s="8" t="s">
        <v>117</v>
      </c>
      <c r="E29" s="8" t="s">
        <v>137</v>
      </c>
      <c r="F29" s="8" t="s">
        <v>63</v>
      </c>
      <c r="G29" s="8" t="s">
        <v>33</v>
      </c>
      <c r="H29" s="9" t="s">
        <v>145</v>
      </c>
      <c r="I29" s="10" t="n">
        <v>3</v>
      </c>
      <c r="J29" s="10" t="n">
        <v>3</v>
      </c>
      <c r="K29" s="10" t="n">
        <v>2</v>
      </c>
      <c r="L29" s="11" t="n">
        <f aca="false">ROUND(AVERAGE(I29:K29),1)</f>
        <v>2.7</v>
      </c>
      <c r="M29" s="10" t="n">
        <v>4</v>
      </c>
      <c r="N29" s="8" t="s">
        <v>42</v>
      </c>
      <c r="O29" s="8" t="str">
        <f aca="false">IF(L29&gt;=Instrucciones!$B$12,IF(M29&gt;=Instrucciones!$B$13,"Reto inmediato","Reto mediato"),IF(M29&gt;=Instrucciones!$B$13,"Menos urgente","Innecesario"))</f>
        <v>Menos urgente</v>
      </c>
      <c r="P29" s="12" t="n">
        <f aca="false">L29+M29/100+(100-ROW())/100000</f>
        <v>2.74071</v>
      </c>
    </row>
    <row r="30" customFormat="false" ht="48" hidden="false" customHeight="true" outlineLevel="0" collapsed="false">
      <c r="A30" s="8" t="s">
        <v>146</v>
      </c>
      <c r="B30" s="9" t="s">
        <v>147</v>
      </c>
      <c r="C30" s="9" t="s">
        <v>148</v>
      </c>
      <c r="D30" s="8" t="s">
        <v>117</v>
      </c>
      <c r="E30" s="8" t="s">
        <v>137</v>
      </c>
      <c r="F30" s="8" t="s">
        <v>32</v>
      </c>
      <c r="G30" s="8" t="s">
        <v>40</v>
      </c>
      <c r="H30" s="9" t="s">
        <v>41</v>
      </c>
      <c r="I30" s="10" t="n">
        <v>5</v>
      </c>
      <c r="J30" s="10" t="n">
        <v>5</v>
      </c>
      <c r="K30" s="10" t="n">
        <v>5</v>
      </c>
      <c r="L30" s="11" t="n">
        <f aca="false">ROUND(AVERAGE(I30:K30),1)</f>
        <v>5</v>
      </c>
      <c r="M30" s="10" t="n">
        <v>4</v>
      </c>
      <c r="N30" s="8" t="s">
        <v>35</v>
      </c>
      <c r="O30" s="8" t="str">
        <f aca="false">IF(L30&gt;=Instrucciones!$B$12,IF(M30&gt;=Instrucciones!$B$13,"Reto inmediato","Reto mediato"),IF(M30&gt;=Instrucciones!$B$13,"Menos urgente","Innecesario"))</f>
        <v>Reto inmediato</v>
      </c>
      <c r="P30" s="12" t="n">
        <f aca="false">L30+M30/100+(100-ROW())/100000</f>
        <v>5.0407</v>
      </c>
    </row>
    <row r="31" customFormat="false" ht="48" hidden="false" customHeight="true" outlineLevel="0" collapsed="false">
      <c r="A31" s="8" t="s">
        <v>149</v>
      </c>
      <c r="B31" s="9" t="s">
        <v>150</v>
      </c>
      <c r="C31" s="9" t="s">
        <v>151</v>
      </c>
      <c r="D31" s="8" t="s">
        <v>117</v>
      </c>
      <c r="E31" s="8" t="s">
        <v>137</v>
      </c>
      <c r="F31" s="8" t="s">
        <v>63</v>
      </c>
      <c r="G31" s="8" t="s">
        <v>33</v>
      </c>
      <c r="H31" s="9" t="s">
        <v>41</v>
      </c>
      <c r="I31" s="10" t="n">
        <v>4</v>
      </c>
      <c r="J31" s="10" t="n">
        <v>4</v>
      </c>
      <c r="K31" s="10" t="n">
        <v>5</v>
      </c>
      <c r="L31" s="11" t="n">
        <f aca="false">ROUND(AVERAGE(I31:K31),1)</f>
        <v>4.3</v>
      </c>
      <c r="M31" s="10" t="n">
        <v>3</v>
      </c>
      <c r="N31" s="8" t="s">
        <v>35</v>
      </c>
      <c r="O31" s="8" t="str">
        <f aca="false">IF(L31&gt;=Instrucciones!$B$12,IF(M31&gt;=Instrucciones!$B$13,"Reto inmediato","Reto mediato"),IF(M31&gt;=Instrucciones!$B$13,"Menos urgente","Innecesario"))</f>
        <v>Reto inmediato</v>
      </c>
      <c r="P31" s="12" t="n">
        <f aca="false">L31+M31/100+(100-ROW())/100000</f>
        <v>4.33069</v>
      </c>
    </row>
  </sheetData>
  <autoFilter ref="A1:P31"/>
  <conditionalFormatting sqref="O2:O31">
    <cfRule type="expression" priority="2" aboveAverage="0" equalAverage="0" bottom="0" percent="0" rank="0" text="" dxfId="9">
      <formula>$O2="Reto inmediato"</formula>
    </cfRule>
    <cfRule type="expression" priority="3" aboveAverage="0" equalAverage="0" bottom="0" percent="0" rank="0" text="" dxfId="10">
      <formula>$O2="Reto mediato"</formula>
    </cfRule>
    <cfRule type="expression" priority="4" aboveAverage="0" equalAverage="0" bottom="0" percent="0" rank="0" text="" dxfId="11">
      <formula>$O2="Menos urgente"</formula>
    </cfRule>
    <cfRule type="expression" priority="5" aboveAverage="0" equalAverage="0" bottom="0" percent="0" rank="0" text="" dxfId="12">
      <formula>$O2="Innecesario"</formula>
    </cfRule>
  </conditionalFormatting>
  <dataValidations count="1">
    <dataValidation allowBlank="false" error="Use valores enteros de 1 a 5" errorStyle="stop" operator="between" showDropDown="false" showErrorMessage="true" showInputMessage="false" sqref="I2:K31 M2:M31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4" min="4" style="0" width="22"/>
  </cols>
  <sheetData>
    <row r="1" customFormat="false" ht="23.85" hidden="false" customHeight="false" outlineLevel="0" collapsed="false">
      <c r="A1" s="7" t="s">
        <v>15</v>
      </c>
      <c r="B1" s="7" t="s">
        <v>152</v>
      </c>
      <c r="C1" s="7" t="s">
        <v>153</v>
      </c>
      <c r="D1" s="7" t="s">
        <v>154</v>
      </c>
    </row>
    <row r="2" customFormat="false" ht="15" hidden="false" customHeight="false" outlineLevel="0" collapsed="false">
      <c r="A2" s="13" t="s">
        <v>31</v>
      </c>
      <c r="B2" s="8" t="n">
        <f aca="false">COUNTIF(Matriz_30!$E$2:$E$31,A2)</f>
        <v>3</v>
      </c>
      <c r="C2" s="14" t="n">
        <f aca="false">IFERROR(AVERAGEIF(Matriz_30!$E$2:$E$31,A2,Matriz_30!$L$2:$L$31),0)</f>
        <v>3.43333333333333</v>
      </c>
      <c r="D2" s="14" t="n">
        <f aca="false">IFERROR(AVERAGEIF(Matriz_30!$E$2:$E$31,A2,Matriz_30!$M$2:$M$31),0)</f>
        <v>1.66666666666667</v>
      </c>
    </row>
    <row r="3" customFormat="false" ht="15" hidden="false" customHeight="false" outlineLevel="0" collapsed="false">
      <c r="A3" s="13" t="s">
        <v>50</v>
      </c>
      <c r="B3" s="8" t="n">
        <f aca="false">COUNTIF(Matriz_30!$E$2:$E$31,A3)</f>
        <v>4</v>
      </c>
      <c r="C3" s="14" t="n">
        <f aca="false">IFERROR(AVERAGEIF(Matriz_30!$E$2:$E$31,A3,Matriz_30!$L$2:$L$31),0)</f>
        <v>4.15</v>
      </c>
      <c r="D3" s="14" t="n">
        <f aca="false">IFERROR(AVERAGEIF(Matriz_30!$E$2:$E$31,A3,Matriz_30!$M$2:$M$31),0)</f>
        <v>1.25</v>
      </c>
    </row>
    <row r="4" customFormat="false" ht="15" hidden="false" customHeight="false" outlineLevel="0" collapsed="false">
      <c r="A4" s="13" t="s">
        <v>68</v>
      </c>
      <c r="B4" s="8" t="n">
        <f aca="false">COUNTIF(Matriz_30!$E$2:$E$31,A4)</f>
        <v>4</v>
      </c>
      <c r="C4" s="14" t="n">
        <f aca="false">IFERROR(AVERAGEIF(Matriz_30!$E$2:$E$31,A4,Matriz_30!$L$2:$L$31),0)</f>
        <v>4.15</v>
      </c>
      <c r="D4" s="14" t="n">
        <f aca="false">IFERROR(AVERAGEIF(Matriz_30!$E$2:$E$31,A4,Matriz_30!$M$2:$M$31),0)</f>
        <v>2.25</v>
      </c>
    </row>
    <row r="5" customFormat="false" ht="15" hidden="false" customHeight="false" outlineLevel="0" collapsed="false">
      <c r="A5" s="13" t="s">
        <v>85</v>
      </c>
      <c r="B5" s="8" t="n">
        <f aca="false">COUNTIF(Matriz_30!$E$2:$E$31,A5)</f>
        <v>4</v>
      </c>
      <c r="C5" s="14" t="n">
        <f aca="false">IFERROR(AVERAGEIF(Matriz_30!$E$2:$E$31,A5,Matriz_30!$L$2:$L$31),0)</f>
        <v>4.15</v>
      </c>
      <c r="D5" s="14" t="n">
        <f aca="false">IFERROR(AVERAGEIF(Matriz_30!$E$2:$E$31,A5,Matriz_30!$M$2:$M$31),0)</f>
        <v>2.75</v>
      </c>
    </row>
    <row r="6" customFormat="false" ht="15" hidden="false" customHeight="false" outlineLevel="0" collapsed="false">
      <c r="A6" s="13" t="s">
        <v>99</v>
      </c>
      <c r="B6" s="8" t="n">
        <f aca="false">COUNTIF(Matriz_30!$E$2:$E$31,A6)</f>
        <v>2</v>
      </c>
      <c r="C6" s="14" t="n">
        <f aca="false">IFERROR(AVERAGEIF(Matriz_30!$E$2:$E$31,A6,Matriz_30!$L$2:$L$31),0)</f>
        <v>2</v>
      </c>
      <c r="D6" s="14" t="n">
        <f aca="false">IFERROR(AVERAGEIF(Matriz_30!$E$2:$E$31,A6,Matriz_30!$M$2:$M$31),0)</f>
        <v>3.5</v>
      </c>
    </row>
    <row r="7" customFormat="false" ht="15" hidden="false" customHeight="false" outlineLevel="0" collapsed="false">
      <c r="A7" s="13" t="s">
        <v>107</v>
      </c>
      <c r="B7" s="8" t="n">
        <f aca="false">COUNTIF(Matriz_30!$E$2:$E$31,A7)</f>
        <v>3</v>
      </c>
      <c r="C7" s="14" t="n">
        <f aca="false">IFERROR(AVERAGEIF(Matriz_30!$E$2:$E$31,A7,Matriz_30!$L$2:$L$31),0)</f>
        <v>3.66666666666667</v>
      </c>
      <c r="D7" s="14" t="n">
        <f aca="false">IFERROR(AVERAGEIF(Matriz_30!$E$2:$E$31,A7,Matriz_30!$M$2:$M$31),0)</f>
        <v>1.66666666666667</v>
      </c>
    </row>
    <row r="8" customFormat="false" ht="15" hidden="false" customHeight="false" outlineLevel="0" collapsed="false">
      <c r="A8" s="13" t="s">
        <v>118</v>
      </c>
      <c r="B8" s="8" t="n">
        <f aca="false">COUNTIF(Matriz_30!$E$2:$E$31,A8)</f>
        <v>5</v>
      </c>
      <c r="C8" s="14" t="n">
        <f aca="false">IFERROR(AVERAGEIF(Matriz_30!$E$2:$E$31,A8,Matriz_30!$L$2:$L$31),0)</f>
        <v>3.72</v>
      </c>
      <c r="D8" s="14" t="n">
        <f aca="false">IFERROR(AVERAGEIF(Matriz_30!$E$2:$E$31,A8,Matriz_30!$M$2:$M$31),0)</f>
        <v>4.2</v>
      </c>
    </row>
    <row r="9" customFormat="false" ht="15" hidden="false" customHeight="false" outlineLevel="0" collapsed="false">
      <c r="A9" s="13" t="s">
        <v>137</v>
      </c>
      <c r="B9" s="8" t="n">
        <f aca="false">COUNTIF(Matriz_30!$E$2:$E$31,A9)</f>
        <v>5</v>
      </c>
      <c r="C9" s="14" t="n">
        <f aca="false">IFERROR(AVERAGEIF(Matriz_30!$E$2:$E$31,A9,Matriz_30!$L$2:$L$31),0)</f>
        <v>4.06</v>
      </c>
      <c r="D9" s="14" t="n">
        <f aca="false">IFERROR(AVERAGEIF(Matriz_30!$E$2:$E$31,A9,Matriz_30!$M$2:$M$31),0)</f>
        <v>3.2</v>
      </c>
    </row>
    <row r="10" customFormat="false" ht="15" hidden="false" customHeight="false" outlineLevel="0" collapsed="false">
      <c r="A10" s="13" t="s">
        <v>155</v>
      </c>
      <c r="B10" s="15" t="n">
        <f aca="false">SUM(B2:B9)</f>
        <v>30</v>
      </c>
      <c r="C10" s="16" t="n">
        <f aca="false">AVERAGE(Matriz_30!L2:L31)</f>
        <v>3.8</v>
      </c>
      <c r="D10" s="16" t="n">
        <f aca="false">AVERAGE(Matriz_30!M2:M31)</f>
        <v>2.63333333333333</v>
      </c>
    </row>
    <row r="12" customFormat="false" ht="15" hidden="false" customHeight="false" outlineLevel="0" collapsed="false">
      <c r="A12" s="7" t="s">
        <v>25</v>
      </c>
      <c r="B12" s="7" t="s">
        <v>152</v>
      </c>
      <c r="C12" s="7" t="s">
        <v>156</v>
      </c>
      <c r="D12" s="17"/>
    </row>
    <row r="13" customFormat="false" ht="15" hidden="false" customHeight="false" outlineLevel="0" collapsed="false">
      <c r="A13" s="8" t="s">
        <v>157</v>
      </c>
      <c r="B13" s="8" t="n">
        <f aca="false">COUNTIF(Matriz_30!$O$2:$O$31,A13)</f>
        <v>8</v>
      </c>
      <c r="C13" s="18" t="n">
        <f aca="false">B13/30</f>
        <v>0.266666666666667</v>
      </c>
    </row>
    <row r="14" customFormat="false" ht="15" hidden="false" customHeight="false" outlineLevel="0" collapsed="false">
      <c r="A14" s="8" t="s">
        <v>158</v>
      </c>
      <c r="B14" s="8" t="n">
        <f aca="false">COUNTIF(Matriz_30!$O$2:$O$31,A14)</f>
        <v>11</v>
      </c>
      <c r="C14" s="18" t="n">
        <f aca="false">B14/30</f>
        <v>0.366666666666667</v>
      </c>
    </row>
    <row r="15" customFormat="false" ht="15" hidden="false" customHeight="false" outlineLevel="0" collapsed="false">
      <c r="A15" s="8" t="s">
        <v>159</v>
      </c>
      <c r="B15" s="8" t="n">
        <f aca="false">COUNTIF(Matriz_30!$O$2:$O$31,A15)</f>
        <v>7</v>
      </c>
      <c r="C15" s="18" t="n">
        <f aca="false">B15/30</f>
        <v>0.233333333333333</v>
      </c>
    </row>
    <row r="16" customFormat="false" ht="15" hidden="false" customHeight="false" outlineLevel="0" collapsed="false">
      <c r="A16" s="8" t="s">
        <v>160</v>
      </c>
      <c r="B16" s="8" t="n">
        <f aca="false">COUNTIF(Matriz_30!$O$2:$O$31,A16)</f>
        <v>4</v>
      </c>
      <c r="C16" s="18" t="n">
        <f aca="false">B16/30</f>
        <v>0.133333333333333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7"/>
    <col collapsed="false" customWidth="true" hidden="false" outlineLevel="0" max="3" min="3" style="0" width="46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6"/>
    <col collapsed="false" customWidth="true" hidden="false" outlineLevel="0" max="7" min="7" style="0" width="16"/>
  </cols>
  <sheetData>
    <row r="1" customFormat="false" ht="15" hidden="false" customHeight="false" outlineLevel="0" collapsed="false">
      <c r="A1" s="6" t="s">
        <v>161</v>
      </c>
    </row>
    <row r="3" customFormat="false" ht="15" hidden="false" customHeight="false" outlineLevel="0" collapsed="false">
      <c r="A3" s="7" t="s">
        <v>162</v>
      </c>
      <c r="B3" s="7" t="s">
        <v>11</v>
      </c>
      <c r="C3" s="7" t="s">
        <v>12</v>
      </c>
      <c r="D3" s="7" t="s">
        <v>15</v>
      </c>
      <c r="E3" s="7" t="s">
        <v>22</v>
      </c>
      <c r="F3" s="7" t="s">
        <v>23</v>
      </c>
      <c r="G3" s="7" t="s">
        <v>25</v>
      </c>
    </row>
    <row r="4" customFormat="false" ht="15" hidden="false" customHeight="false" outlineLevel="0" collapsed="false">
      <c r="A4" s="8" t="n">
        <v>1</v>
      </c>
      <c r="B4" s="8" t="str">
        <f aca="false">INDEX(Matriz_30!$A$2:$A$31,MATCH(LARGE(Matriz_30!$P$2:$P$31,A4),Matriz_30!$P$2:$P$31,0))</f>
        <v>V29</v>
      </c>
      <c r="C4" s="9" t="str">
        <f aca="false">INDEX(Matriz_30!$B$2:$B$31,MATCH(LARGE(Matriz_30!$P$2:$P$31,A4),Matriz_30!$P$2:$P$31,0))</f>
        <v>Ingresos concentrados en proyectos a la medida</v>
      </c>
      <c r="D4" s="8" t="str">
        <f aca="false">INDEX(Matriz_30!$E$2:$E$31,MATCH(LARGE(Matriz_30!$P$2:$P$31,A4),Matriz_30!$P$2:$P$31,0))</f>
        <v>Debilidad</v>
      </c>
      <c r="E4" s="19" t="n">
        <f aca="false">INDEX(Matriz_30!$L$2:$L$31,MATCH(LARGE(Matriz_30!$P$2:$P$31,A4),Matriz_30!$P$2:$P$31,0))</f>
        <v>5</v>
      </c>
      <c r="F4" s="8" t="n">
        <f aca="false">INDEX(Matriz_30!$M$2:$M$31,MATCH(LARGE(Matriz_30!$P$2:$P$31,A4),Matriz_30!$P$2:$P$31,0))</f>
        <v>4</v>
      </c>
      <c r="G4" s="8" t="str">
        <f aca="false">INDEX(Matriz_30!$O$2:$O$31,MATCH(LARGE(Matriz_30!$P$2:$P$31,A4),Matriz_30!$P$2:$P$31,0))</f>
        <v>Reto inmediato</v>
      </c>
    </row>
    <row r="5" customFormat="false" ht="15" hidden="false" customHeight="false" outlineLevel="0" collapsed="false">
      <c r="A5" s="8" t="n">
        <v>2</v>
      </c>
      <c r="B5" s="8" t="str">
        <f aca="false">INDEX(Matriz_30!$A$2:$A$31,MATCH(LARGE(Matriz_30!$P$2:$P$31,A5),Matriz_30!$P$2:$P$31,0))</f>
        <v>V12</v>
      </c>
      <c r="C5" s="9" t="str">
        <f aca="false">INDEX(Matriz_30!$B$2:$B$31,MATCH(LARGE(Matriz_30!$P$2:$P$31,A5),Matriz_30!$P$2:$P$31,0))</f>
        <v>IA generativa y agentes en el desarrollo de software</v>
      </c>
      <c r="D5" s="8" t="str">
        <f aca="false">INDEX(Matriz_30!$E$2:$E$31,MATCH(LARGE(Matriz_30!$P$2:$P$31,A5),Matriz_30!$P$2:$P$31,0))</f>
        <v>Tecnológico</v>
      </c>
      <c r="E5" s="19" t="n">
        <f aca="false">INDEX(Matriz_30!$L$2:$L$31,MATCH(LARGE(Matriz_30!$P$2:$P$31,A5),Matriz_30!$P$2:$P$31,0))</f>
        <v>5</v>
      </c>
      <c r="F5" s="8" t="n">
        <f aca="false">INDEX(Matriz_30!$M$2:$M$31,MATCH(LARGE(Matriz_30!$P$2:$P$31,A5),Matriz_30!$P$2:$P$31,0))</f>
        <v>3</v>
      </c>
      <c r="G5" s="8" t="str">
        <f aca="false">INDEX(Matriz_30!$O$2:$O$31,MATCH(LARGE(Matriz_30!$P$2:$P$31,A5),Matriz_30!$P$2:$P$31,0))</f>
        <v>Reto inmediato</v>
      </c>
    </row>
    <row r="6" customFormat="false" ht="15" hidden="false" customHeight="false" outlineLevel="0" collapsed="false">
      <c r="A6" s="8" t="n">
        <v>3</v>
      </c>
      <c r="B6" s="8" t="str">
        <f aca="false">INDEX(Matriz_30!$A$2:$A$31,MATCH(LARGE(Matriz_30!$P$2:$P$31,A6),Matriz_30!$P$2:$P$31,0))</f>
        <v>V06</v>
      </c>
      <c r="C6" s="9" t="str">
        <f aca="false">INDEX(Matriz_30!$B$2:$B$31,MATCH(LARGE(Matriz_30!$P$2:$P$31,A6),Matriz_30!$P$2:$P$31,0))</f>
        <v>Nearshoring de servicios de software</v>
      </c>
      <c r="D6" s="8" t="str">
        <f aca="false">INDEX(Matriz_30!$E$2:$E$31,MATCH(LARGE(Matriz_30!$P$2:$P$31,A6),Matriz_30!$P$2:$P$31,0))</f>
        <v>Económico</v>
      </c>
      <c r="E6" s="19" t="n">
        <f aca="false">INDEX(Matriz_30!$L$2:$L$31,MATCH(LARGE(Matriz_30!$P$2:$P$31,A6),Matriz_30!$P$2:$P$31,0))</f>
        <v>4.7</v>
      </c>
      <c r="F6" s="8" t="n">
        <f aca="false">INDEX(Matriz_30!$M$2:$M$31,MATCH(LARGE(Matriz_30!$P$2:$P$31,A6),Matriz_30!$P$2:$P$31,0))</f>
        <v>2</v>
      </c>
      <c r="G6" s="8" t="str">
        <f aca="false">INDEX(Matriz_30!$O$2:$O$31,MATCH(LARGE(Matriz_30!$P$2:$P$31,A6),Matriz_30!$P$2:$P$31,0))</f>
        <v>Reto mediato</v>
      </c>
    </row>
    <row r="7" customFormat="false" ht="15" hidden="false" customHeight="false" outlineLevel="0" collapsed="false">
      <c r="A7" s="8" t="n">
        <v>4</v>
      </c>
      <c r="B7" s="8" t="str">
        <f aca="false">INDEX(Matriz_30!$A$2:$A$31,MATCH(LARGE(Matriz_30!$P$2:$P$31,A7),Matriz_30!$P$2:$P$31,0))</f>
        <v>V08</v>
      </c>
      <c r="C7" s="9" t="str">
        <f aca="false">INDEX(Matriz_30!$B$2:$B$31,MATCH(LARGE(Matriz_30!$P$2:$P$31,A7),Matriz_30!$P$2:$P$31,0))</f>
        <v>Brecha de talento TI</v>
      </c>
      <c r="D7" s="8" t="str">
        <f aca="false">INDEX(Matriz_30!$E$2:$E$31,MATCH(LARGE(Matriz_30!$P$2:$P$31,A7),Matriz_30!$P$2:$P$31,0))</f>
        <v>Social</v>
      </c>
      <c r="E7" s="19" t="n">
        <f aca="false">INDEX(Matriz_30!$L$2:$L$31,MATCH(LARGE(Matriz_30!$P$2:$P$31,A7),Matriz_30!$P$2:$P$31,0))</f>
        <v>4.7</v>
      </c>
      <c r="F7" s="8" t="n">
        <f aca="false">INDEX(Matriz_30!$M$2:$M$31,MATCH(LARGE(Matriz_30!$P$2:$P$31,A7),Matriz_30!$P$2:$P$31,0))</f>
        <v>2</v>
      </c>
      <c r="G7" s="8" t="str">
        <f aca="false">INDEX(Matriz_30!$O$2:$O$31,MATCH(LARGE(Matriz_30!$P$2:$P$31,A7),Matriz_30!$P$2:$P$31,0))</f>
        <v>Reto mediato</v>
      </c>
    </row>
    <row r="8" customFormat="false" ht="15" hidden="false" customHeight="false" outlineLevel="0" collapsed="false">
      <c r="A8" s="8" t="n">
        <v>5</v>
      </c>
      <c r="B8" s="8" t="str">
        <f aca="false">INDEX(Matriz_30!$A$2:$A$31,MATCH(LARGE(Matriz_30!$P$2:$P$31,A8),Matriz_30!$P$2:$P$31,0))</f>
        <v>V15</v>
      </c>
      <c r="C8" s="9" t="str">
        <f aca="false">INDEX(Matriz_30!$B$2:$B$31,MATCH(LARGE(Matriz_30!$P$2:$P$31,A8),Matriz_30!$P$2:$P$31,0))</f>
        <v>Ciberseguridad y desarrollo seguro</v>
      </c>
      <c r="D8" s="8" t="str">
        <f aca="false">INDEX(Matriz_30!$E$2:$E$31,MATCH(LARGE(Matriz_30!$P$2:$P$31,A8),Matriz_30!$P$2:$P$31,0))</f>
        <v>Tecnológico</v>
      </c>
      <c r="E8" s="19" t="n">
        <f aca="false">INDEX(Matriz_30!$L$2:$L$31,MATCH(LARGE(Matriz_30!$P$2:$P$31,A8),Matriz_30!$P$2:$P$31,0))</f>
        <v>4.3</v>
      </c>
      <c r="F8" s="8" t="n">
        <f aca="false">INDEX(Matriz_30!$M$2:$M$31,MATCH(LARGE(Matriz_30!$P$2:$P$31,A8),Matriz_30!$P$2:$P$31,0))</f>
        <v>3</v>
      </c>
      <c r="G8" s="8" t="str">
        <f aca="false">INDEX(Matriz_30!$O$2:$O$31,MATCH(LARGE(Matriz_30!$P$2:$P$31,A8),Matriz_30!$P$2:$P$31,0))</f>
        <v>Reto inmediato</v>
      </c>
    </row>
    <row r="9" customFormat="false" ht="15" hidden="false" customHeight="false" outlineLevel="0" collapsed="false">
      <c r="A9" s="8" t="n">
        <v>6</v>
      </c>
      <c r="B9" s="8" t="str">
        <f aca="false">INDEX(Matriz_30!$A$2:$A$31,MATCH(LARGE(Matriz_30!$P$2:$P$31,A9),Matriz_30!$P$2:$P$31,0))</f>
        <v>V24</v>
      </c>
      <c r="C9" s="9" t="str">
        <f aca="false">INDEX(Matriz_30!$B$2:$B$31,MATCH(LARGE(Matriz_30!$P$2:$P$31,A9),Matriz_30!$P$2:$P$31,0))</f>
        <v>Cartera de clientes corporativos</v>
      </c>
      <c r="D9" s="8" t="str">
        <f aca="false">INDEX(Matriz_30!$E$2:$E$31,MATCH(LARGE(Matriz_30!$P$2:$P$31,A9),Matriz_30!$P$2:$P$31,0))</f>
        <v>Fortaleza</v>
      </c>
      <c r="E9" s="19" t="n">
        <f aca="false">INDEX(Matriz_30!$L$2:$L$31,MATCH(LARGE(Matriz_30!$P$2:$P$31,A9),Matriz_30!$P$2:$P$31,0))</f>
        <v>4.3</v>
      </c>
      <c r="F9" s="8" t="n">
        <f aca="false">INDEX(Matriz_30!$M$2:$M$31,MATCH(LARGE(Matriz_30!$P$2:$P$31,A9),Matriz_30!$P$2:$P$31,0))</f>
        <v>3</v>
      </c>
      <c r="G9" s="8" t="str">
        <f aca="false">INDEX(Matriz_30!$O$2:$O$31,MATCH(LARGE(Matriz_30!$P$2:$P$31,A9),Matriz_30!$P$2:$P$31,0))</f>
        <v>Reto inmediato</v>
      </c>
    </row>
    <row r="10" customFormat="false" ht="15" hidden="false" customHeight="false" outlineLevel="0" collapsed="false">
      <c r="A10" s="8" t="n">
        <v>7</v>
      </c>
      <c r="B10" s="8" t="str">
        <f aca="false">INDEX(Matriz_30!$A$2:$A$31,MATCH(LARGE(Matriz_30!$P$2:$P$31,A10),Matriz_30!$P$2:$P$31,0))</f>
        <v>V30</v>
      </c>
      <c r="C10" s="9" t="str">
        <f aca="false">INDEX(Matriz_30!$B$2:$B$31,MATCH(LARGE(Matriz_30!$P$2:$P$31,A10),Matriz_30!$P$2:$P$31,0))</f>
        <v>Presencia comercial internacional limitada</v>
      </c>
      <c r="D10" s="8" t="str">
        <f aca="false">INDEX(Matriz_30!$E$2:$E$31,MATCH(LARGE(Matriz_30!$P$2:$P$31,A10),Matriz_30!$P$2:$P$31,0))</f>
        <v>Debilidad</v>
      </c>
      <c r="E10" s="19" t="n">
        <f aca="false">INDEX(Matriz_30!$L$2:$L$31,MATCH(LARGE(Matriz_30!$P$2:$P$31,A10),Matriz_30!$P$2:$P$31,0))</f>
        <v>4.3</v>
      </c>
      <c r="F10" s="8" t="n">
        <f aca="false">INDEX(Matriz_30!$M$2:$M$31,MATCH(LARGE(Matriz_30!$P$2:$P$31,A10),Matriz_30!$P$2:$P$31,0))</f>
        <v>3</v>
      </c>
      <c r="G10" s="8" t="str">
        <f aca="false">INDEX(Matriz_30!$O$2:$O$31,MATCH(LARGE(Matriz_30!$P$2:$P$31,A10),Matriz_30!$P$2:$P$31,0))</f>
        <v>Reto inmediato</v>
      </c>
    </row>
    <row r="11" customFormat="false" ht="15" hidden="false" customHeight="false" outlineLevel="0" collapsed="false">
      <c r="A11" s="8" t="n">
        <v>8</v>
      </c>
      <c r="B11" s="8" t="str">
        <f aca="false">INDEX(Matriz_30!$A$2:$A$31,MATCH(LARGE(Matriz_30!$P$2:$P$31,A11),Matriz_30!$P$2:$P$31,0))</f>
        <v>V09</v>
      </c>
      <c r="C11" s="9" t="str">
        <f aca="false">INDEX(Matriz_30!$B$2:$B$31,MATCH(LARGE(Matriz_30!$P$2:$P$31,A11),Matriz_30!$P$2:$P$31,0))</f>
        <v>Trabajo remoto y competencia global por talento</v>
      </c>
      <c r="D11" s="8" t="str">
        <f aca="false">INDEX(Matriz_30!$E$2:$E$31,MATCH(LARGE(Matriz_30!$P$2:$P$31,A11),Matriz_30!$P$2:$P$31,0))</f>
        <v>Social</v>
      </c>
      <c r="E11" s="19" t="n">
        <f aca="false">INDEX(Matriz_30!$L$2:$L$31,MATCH(LARGE(Matriz_30!$P$2:$P$31,A11),Matriz_30!$P$2:$P$31,0))</f>
        <v>4.3</v>
      </c>
      <c r="F11" s="8" t="n">
        <f aca="false">INDEX(Matriz_30!$M$2:$M$31,MATCH(LARGE(Matriz_30!$P$2:$P$31,A11),Matriz_30!$P$2:$P$31,0))</f>
        <v>2</v>
      </c>
      <c r="G11" s="8" t="str">
        <f aca="false">INDEX(Matriz_30!$O$2:$O$31,MATCH(LARGE(Matriz_30!$P$2:$P$31,A11),Matriz_30!$P$2:$P$31,0))</f>
        <v>Reto mediato</v>
      </c>
    </row>
    <row r="12" customFormat="false" ht="15" hidden="false" customHeight="false" outlineLevel="0" collapsed="false">
      <c r="A12" s="8" t="n">
        <v>9</v>
      </c>
      <c r="B12" s="8" t="str">
        <f aca="false">INDEX(Matriz_30!$A$2:$A$31,MATCH(LARGE(Matriz_30!$P$2:$P$31,A12),Matriz_30!$P$2:$P$31,0))</f>
        <v>V10</v>
      </c>
      <c r="C12" s="9" t="str">
        <f aca="false">INDEX(Matriz_30!$B$2:$B$31,MATCH(LARGE(Matriz_30!$P$2:$P$31,A12),Matriz_30!$P$2:$P$31,0))</f>
        <v>Digitalización de pymes y consumidores</v>
      </c>
      <c r="D12" s="8" t="str">
        <f aca="false">INDEX(Matriz_30!$E$2:$E$31,MATCH(LARGE(Matriz_30!$P$2:$P$31,A12),Matriz_30!$P$2:$P$31,0))</f>
        <v>Social</v>
      </c>
      <c r="E12" s="19" t="n">
        <f aca="false">INDEX(Matriz_30!$L$2:$L$31,MATCH(LARGE(Matriz_30!$P$2:$P$31,A12),Matriz_30!$P$2:$P$31,0))</f>
        <v>4.3</v>
      </c>
      <c r="F12" s="8" t="n">
        <f aca="false">INDEX(Matriz_30!$M$2:$M$31,MATCH(LARGE(Matriz_30!$P$2:$P$31,A12),Matriz_30!$P$2:$P$31,0))</f>
        <v>2</v>
      </c>
      <c r="G12" s="8" t="str">
        <f aca="false">INDEX(Matriz_30!$O$2:$O$31,MATCH(LARGE(Matriz_30!$P$2:$P$31,A12),Matriz_30!$P$2:$P$31,0))</f>
        <v>Reto mediato</v>
      </c>
    </row>
    <row r="13" customFormat="false" ht="15" hidden="false" customHeight="false" outlineLevel="0" collapsed="false">
      <c r="A13" s="8" t="n">
        <v>10</v>
      </c>
      <c r="B13" s="8" t="str">
        <f aca="false">INDEX(Matriz_30!$A$2:$A$31,MATCH(LARGE(Matriz_30!$P$2:$P$31,A13),Matriz_30!$P$2:$P$31,0))</f>
        <v>V26</v>
      </c>
      <c r="C13" s="9" t="str">
        <f aca="false">INDEX(Matriz_30!$B$2:$B$31,MATCH(LARGE(Matriz_30!$P$2:$P$31,A13),Matriz_30!$P$2:$P$31,0))</f>
        <v>Escala reducida frente a grandes competidores</v>
      </c>
      <c r="D13" s="8" t="str">
        <f aca="false">INDEX(Matriz_30!$E$2:$E$31,MATCH(LARGE(Matriz_30!$P$2:$P$31,A13),Matriz_30!$P$2:$P$31,0))</f>
        <v>Debilidad</v>
      </c>
      <c r="E13" s="19" t="n">
        <f aca="false">INDEX(Matriz_30!$L$2:$L$31,MATCH(LARGE(Matriz_30!$P$2:$P$31,A13),Matriz_30!$P$2:$P$31,0))</f>
        <v>4.3</v>
      </c>
      <c r="F13" s="8" t="n">
        <f aca="false">INDEX(Matriz_30!$M$2:$M$31,MATCH(LARGE(Matriz_30!$P$2:$P$31,A13),Matriz_30!$P$2:$P$31,0))</f>
        <v>2</v>
      </c>
      <c r="G13" s="8" t="str">
        <f aca="false">INDEX(Matriz_30!$O$2:$O$31,MATCH(LARGE(Matriz_30!$P$2:$P$31,A13),Matriz_30!$P$2:$P$31,0))</f>
        <v>Reto mediato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6" t="s">
        <v>163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2026-10-03T19:46:19Z</dcterms:created>
  <dc:creator>openpyxl</dc:creator>
  <dc:description/>
  <dc:language>en-US</dc:language>
  <cp:lastModifiedBy/>
  <dcterms:modified xsi:type="dcterms:W3CDTF">2026-10-03T19:46:22Z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